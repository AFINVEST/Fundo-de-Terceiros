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Lívia\Rascunhos\Comparação Fundo de Terceiros\Fundo-de-Terceiros\"/>
    </mc:Choice>
  </mc:AlternateContent>
  <xr:revisionPtr revIDLastSave="0" documentId="13_ncr:1_{4499F143-17A2-4E58-AF46-8AC89F104B23}" xr6:coauthVersionLast="47" xr6:coauthVersionMax="47" xr10:uidLastSave="{00000000-0000-0000-0000-000000000000}"/>
  <bookViews>
    <workbookView xWindow="20370" yWindow="-1260" windowWidth="21840" windowHeight="13020" xr2:uid="{B1A1DF33-B4D1-4011-AD88-4041D6AF14DD}"/>
  </bookViews>
  <sheets>
    <sheet name="CAPA" sheetId="1" r:id="rId1"/>
    <sheet name="Cotas" sheetId="5" r:id="rId2"/>
    <sheet name="Planilha2" sheetId="2" r:id="rId3"/>
    <sheet name="Correlação" sheetId="3" r:id="rId4"/>
    <sheet name="Correlação código" sheetId="4" r:id="rId5"/>
  </sheets>
  <definedNames>
    <definedName name="_ECO_RANGE_ID0427dd096e9d43a49ed87431e1899843" localSheetId="1" hidden="1">Cotas!$V$2:$V$27</definedName>
    <definedName name="_ECO_RANGE_ID095ab46258164c9a8d4a89944c10fb21" localSheetId="2" hidden="1">Planilha2!$J$2:$J$27</definedName>
    <definedName name="_ECO_RANGE_ID0c086a9e676e4748a559b902db7f0ec6" localSheetId="1" hidden="1">Cotas!$M$2:$M$27</definedName>
    <definedName name="_ECO_RANGE_ID0d9ac8778a594dba9b898b626345e587" localSheetId="2" hidden="1">Planilha2!$C$2:$C$27</definedName>
    <definedName name="_ECO_RANGE_ID13f5116ead8e48a4a7ae114be97f1478" localSheetId="3" hidden="1">Correlação!$J$2:$J$27</definedName>
    <definedName name="_ECO_RANGE_ID1bd877ec4297427ca4b323b3e28b9693" localSheetId="1" hidden="1">Cotas!$P$2:$P$27</definedName>
    <definedName name="_ECO_RANGE_ID1c90c02129484b36929a6038b3949bcd" localSheetId="2" hidden="1">Planilha2!$F$2:$F$27</definedName>
    <definedName name="_ECO_RANGE_ID1e6329302db34ee6a9661ad611bc1513" localSheetId="2" hidden="1">Planilha2!$I$2:$I$27</definedName>
    <definedName name="_ECO_RANGE_ID212c7e1c1f1e4aa2810165fc1c6afc76" localSheetId="1" hidden="1">Cotas!$I$2:$I$27</definedName>
    <definedName name="_ECO_RANGE_ID241fc37f8e1e40b681da8f0114851f5d" localSheetId="3" hidden="1">Correlação!$U$2:$U$27</definedName>
    <definedName name="_ECO_RANGE_ID258248b50c674e9f8d8a578b34c699db" localSheetId="1" hidden="1">Cotas!$AB$2:$AB$27</definedName>
    <definedName name="_ECO_RANGE_ID292a72b43d9c4cb2a084469bd44d2b54" localSheetId="3" hidden="1">Correlação!$S$2:$S$27</definedName>
    <definedName name="_ECO_RANGE_ID2b7c6f078cb640c380ed4b83d0ab92cf" localSheetId="1" hidden="1">Cotas!$S$2:$S$27</definedName>
    <definedName name="_ECO_RANGE_ID2c127a7b198f4e20bfc6a34c86835eec" localSheetId="3" hidden="1">Correlação!$V$2:$V$27</definedName>
    <definedName name="_ECO_RANGE_ID2e51036eb99f4e118085bc227019d70b" localSheetId="1" hidden="1">Cotas!$F$2:$F$27</definedName>
    <definedName name="_ECO_RANGE_ID2f58d05c16c14f3eb376c7bbf1d893d8" localSheetId="3" hidden="1">Correlação!$AA$2:$AA$27</definedName>
    <definedName name="_ECO_RANGE_ID36d7c25a37bb4af9b9a23d7820a58a2f" localSheetId="2" hidden="1">Planilha2!$D$2:$D$27</definedName>
    <definedName name="_ECO_RANGE_ID3adec5c596ab485ea41142e36687825f" localSheetId="1" hidden="1">Cotas!$Z$2:$Z$27</definedName>
    <definedName name="_ECO_RANGE_ID3cdf6d89582e41319ee1d34041392f39" localSheetId="1" hidden="1">Cotas!$H$2:$H$27</definedName>
    <definedName name="_ECO_RANGE_ID3fe96337fba745998d40a1a95e6d3f17" localSheetId="3" hidden="1">Correlação!$R$2:$R$27</definedName>
    <definedName name="_ECO_RANGE_ID417915b883844129a25330a340112409" localSheetId="2" hidden="1">Planilha2!$G$2:$G$27</definedName>
    <definedName name="_ECO_RANGE_ID4207dae23fd2475b99d044a1edf867b6" localSheetId="1" hidden="1">Cotas!$K$2:$K$27</definedName>
    <definedName name="_ECO_RANGE_ID4318a75e1a9d42a9a2bb5684e9ba48f3" localSheetId="3" hidden="1">Correlação!$I$2:$I$27</definedName>
    <definedName name="_ECO_RANGE_ID481af421f6854085899a05ba9cb95cd7" localSheetId="1" hidden="1">Cotas!$B$2:$B$27</definedName>
    <definedName name="_ECO_RANGE_ID4860dad679544bc4bc6e9047a84b8d0a" localSheetId="2" hidden="1">Planilha2!$M$2:$M$27</definedName>
    <definedName name="_ECO_RANGE_ID4b532d1a56ff49c180918a694ecc1f58" localSheetId="3" hidden="1">Correlação!$E$2:$E$27</definedName>
    <definedName name="_ECO_RANGE_ID4c79ee50d41240128b08acb7ea6ec71a" localSheetId="3" hidden="1">Correlação!$T$2:$T$27</definedName>
    <definedName name="_ECO_RANGE_ID4de1008debd74503ab8a8772a1947391" localSheetId="1" hidden="1">Cotas!$E$2:$E$27</definedName>
    <definedName name="_ECO_RANGE_ID501bf0d17fe44ce5a4709e20c5a61b39" localSheetId="1" hidden="1">Cotas!$AD$2:$AD$27</definedName>
    <definedName name="_ECO_RANGE_ID546f5dd039a54ec8a7799eb1a2a5f81d" localSheetId="2" hidden="1">Planilha2!$E$2:$E$27</definedName>
    <definedName name="_ECO_RANGE_ID5a8ab2bc7d654f4386eeb314c8c0b92d" localSheetId="1" hidden="1">Cotas!$D$2:$D$27</definedName>
    <definedName name="_ECO_RANGE_ID5cd352cc05bd4a52834b232ed279afaf" localSheetId="1" hidden="1">Cotas!$T$2:$T$27</definedName>
    <definedName name="_ECO_RANGE_ID6221cfbbbcc346199cd7b1e58745874a" localSheetId="1" hidden="1">Cotas!$O$2:$O$27</definedName>
    <definedName name="_ECO_RANGE_ID629f06f009f94525ad2e43510686e63c" localSheetId="3" hidden="1">Correlação!$L$2:$L$27</definedName>
    <definedName name="_ECO_RANGE_ID6461d0e6f59a408aa39beaf308c7f403" localSheetId="1" hidden="1">Cotas!$W$2:$W$27</definedName>
    <definedName name="_ECO_RANGE_ID65299a100f854750898f5f7f8e254a61" localSheetId="3" hidden="1">Correlação!$AB$2:$AB$27</definedName>
    <definedName name="_ECO_RANGE_ID655031a87eae4c5ca46f122401c67c7b" localSheetId="3" hidden="1">Correlação!$X$2:$X$27</definedName>
    <definedName name="_ECO_RANGE_ID66b061465d5f41a7b16fc8095dac9288" localSheetId="3" hidden="1">Correlação!$N$2:$N$27</definedName>
    <definedName name="_ECO_RANGE_ID678e0e5b29144e538ae7eabee22464ed" localSheetId="3" hidden="1">Correlação!$G$2:$G$27</definedName>
    <definedName name="_ECO_RANGE_ID6888a5e56a344e9a8680f13469e2101a" localSheetId="3" hidden="1">Correlação!$H$2:$H$27</definedName>
    <definedName name="_ECO_RANGE_ID85318fe8bbf141e7857483e639ba1d0e" localSheetId="1" hidden="1">Cotas!$AF$2:$AF$27</definedName>
    <definedName name="_ECO_RANGE_ID86bc257b76b7480fa734fdca5d929194" localSheetId="3" hidden="1">Correlação!$D$2:$D$27</definedName>
    <definedName name="_ECO_RANGE_ID8f339369dc114a4bb553268635622ba4" localSheetId="1" hidden="1">Cotas!$C$2:$C$27</definedName>
    <definedName name="_ECO_RANGE_ID9168561a6e7b478c8576b4f63b4d3b21" localSheetId="1" hidden="1">Cotas!$AC$2:$AC$27</definedName>
    <definedName name="_ECO_RANGE_ID96a6a5ff9b494d9794a49a2b47dc756a" localSheetId="1" hidden="1">Cotas!$L$2:$L$27</definedName>
    <definedName name="_ECO_RANGE_ID97bbd0e16daf4fb2b0fd1324012ec453" localSheetId="1" hidden="1">Cotas!$Y$2:$Y$27</definedName>
    <definedName name="_ECO_RANGE_IDa57deb2084004e5a9938e017f3dde170" localSheetId="3" hidden="1">Correlação!$P$2:$P$27</definedName>
    <definedName name="_ECO_RANGE_IDad790e3b07df4fccb6c161b443154638" localSheetId="1" hidden="1">Cotas!$U$2:$U$27</definedName>
    <definedName name="_ECO_RANGE_IDaf04b20d764b43799771567054820d4e" localSheetId="3" hidden="1">Correlação!$W$2:$W$27</definedName>
    <definedName name="_ECO_RANGE_IDb2d008c592014efca19688176e802fb2" localSheetId="3" hidden="1">Correlação!$C$2:$C$27</definedName>
    <definedName name="_ECO_RANGE_IDb36b985dba6044089609d41b054e5488" localSheetId="3" hidden="1">Correlação!$M$2:$M$27</definedName>
    <definedName name="_ECO_RANGE_IDb976961d6207413a86d150033e22c554" localSheetId="3" hidden="1">Correlação!$Q$2:$Q$27</definedName>
    <definedName name="_ECO_RANGE_IDbaafb91b5cf546f499605e037372a5f6" localSheetId="3" hidden="1">Correlação!$K$2:$K$27</definedName>
    <definedName name="_ECO_RANGE_IDc25a3a2baff849a4aa4c00fb782fd79a" localSheetId="2" hidden="1">Planilha2!$H$2:$H$27</definedName>
    <definedName name="_ECO_RANGE_IDc2738cd662b142909ec6a76d5f533a17" localSheetId="2" hidden="1">Planilha2!$L$2:$L$27</definedName>
    <definedName name="_ECO_RANGE_IDc819a3027f9e473bbad86aac77ee9b19" localSheetId="1" hidden="1">Cotas!$G$2:$G$27</definedName>
    <definedName name="_ECO_RANGE_IDc99f65d3be00442cb4fdeacf818ce07e" localSheetId="1" hidden="1">Cotas!$AE$2:$AE$27</definedName>
    <definedName name="_ECO_RANGE_IDc9fb62fbd5fe42dcb91adb02e016fad3" localSheetId="3" hidden="1">Correlação!$F$2:$F$27</definedName>
    <definedName name="_ECO_RANGE_IDcab5e117d26440e784e1d58ecd6e274f" localSheetId="3" hidden="1">Correlação!$Z$2:$Z$27</definedName>
    <definedName name="_ECO_RANGE_IDcb51819288954fbd8d4e1cd6621ddba5" localSheetId="3" hidden="1">Correlação!$O$2:$O$27</definedName>
    <definedName name="_ECO_RANGE_IDcfddf9cfc2f14029b31ddf3b642f4bd5" localSheetId="1" hidden="1">Cotas!$AA$2:$AA$27</definedName>
    <definedName name="_ECO_RANGE_IDd1a759cd432a416caf5dd4a400c2403d" localSheetId="2" hidden="1">Planilha2!$B$2:$B$27</definedName>
    <definedName name="_ECO_RANGE_IDd439d62294224a30b8822f998c884f68" localSheetId="1" hidden="1">Cotas!$N$2:$N$27</definedName>
    <definedName name="_ECO_RANGE_IDdafa7465ad324719994636b2d5d39a7b" localSheetId="3" hidden="1">Correlação!$Y$2:$Y$27</definedName>
    <definedName name="_ECO_RANGE_IDdc42db95537f4d81ad4eb65471438dde" localSheetId="1" hidden="1">Cotas!$J$2:$J$27</definedName>
    <definedName name="_ECO_RANGE_IDeacb0eb65a5d4e9abedd958d5433c9a0" localSheetId="2" hidden="1">Planilha2!$K$2:$K$27</definedName>
    <definedName name="_ECO_RANGE_IDedcd578d32064bb9a185dd55c11635f7" localSheetId="1" hidden="1">Cotas!$R$2:$R$27</definedName>
    <definedName name="_ECO_RANGE_IDf094e047512f4be19232d30f084a463e" localSheetId="3" hidden="1">Correlação!$B$2:$B$27</definedName>
    <definedName name="_ECO_RANGE_IDf2020d3e99c64f699582384e3fbce93a" localSheetId="1" hidden="1">Cotas!$X$2:$X$27</definedName>
    <definedName name="_ECO_RANGE_IDf7e30f5c7cff4984918b25f685d6f277" localSheetId="1" hidden="1">Cotas!$Q$2:$Q$27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B2" i="4"/>
  <c r="W1" i="3" a="1"/>
  <c r="E1" i="5" a="1"/>
  <c r="C1" i="5" a="1"/>
  <c r="G1" i="2" a="1"/>
  <c r="AF1" i="5" a="1"/>
  <c r="N1" i="5" a="1"/>
  <c r="AA1" i="5" a="1"/>
  <c r="F1" i="3" a="1"/>
  <c r="M1" i="3" a="1"/>
  <c r="K1" i="2" a="1"/>
  <c r="E1" i="2" a="1"/>
  <c r="O1" i="3" a="1"/>
  <c r="L1" i="2" a="1"/>
  <c r="B1" i="3" a="1"/>
  <c r="I1" i="5" a="1"/>
  <c r="V1" i="5" a="1"/>
  <c r="O1" i="5" a="1"/>
  <c r="R1" i="5" a="1"/>
  <c r="AB1" i="3" a="1"/>
  <c r="Q1" i="5" a="1"/>
  <c r="F1" i="5" a="1"/>
  <c r="B1" i="2" a="1"/>
  <c r="D1" i="3" a="1"/>
  <c r="AA1" i="3" a="1"/>
  <c r="G1" i="5" a="1"/>
  <c r="P1" i="3" a="1"/>
  <c r="T1" i="3" a="1"/>
  <c r="AC1" i="5" a="1"/>
  <c r="B1" i="5" a="1"/>
  <c r="T1" i="5" a="1"/>
  <c r="I1" i="2" a="1"/>
  <c r="AD1" i="5" a="1"/>
  <c r="Y1" i="3" a="1"/>
  <c r="J1" i="5" a="1"/>
  <c r="Y1" i="5" a="1"/>
  <c r="I1" i="3" a="1"/>
  <c r="H1" i="5" a="1"/>
  <c r="P1" i="5" a="1"/>
  <c r="E1" i="3" a="1"/>
  <c r="AB1" i="5" a="1"/>
  <c r="C1" i="3" a="1"/>
  <c r="F1" i="2" a="1"/>
  <c r="R1" i="3" a="1"/>
  <c r="AE1" i="5" a="1"/>
  <c r="L1" i="3" a="1"/>
  <c r="U1" i="5" a="1"/>
  <c r="C1" i="2" a="1"/>
  <c r="N1" i="3" a="1"/>
  <c r="Z1" i="5" a="1"/>
  <c r="M1" i="2" a="1"/>
  <c r="Q1" i="3" a="1"/>
  <c r="X1" i="3" a="1"/>
  <c r="J1" i="3" a="1"/>
  <c r="H1" i="2" a="1"/>
  <c r="K1" i="5" a="1"/>
  <c r="G1" i="3" a="1"/>
  <c r="M1" i="5" a="1"/>
  <c r="Z1" i="3" a="1"/>
  <c r="J1" i="2" a="1"/>
  <c r="H1" i="3" a="1"/>
  <c r="L1" i="5" a="1"/>
  <c r="S1" i="3" a="1"/>
  <c r="D1" i="2" a="1"/>
  <c r="D1" i="5" a="1"/>
  <c r="S1" i="5" a="1"/>
  <c r="U1" i="3" a="1"/>
  <c r="W1" i="5" a="1"/>
  <c r="K1" i="3" a="1"/>
  <c r="V1" i="3" a="1"/>
  <c r="X1" i="5" a="1"/>
  <c r="E1" i="5" l="1"/>
  <c r="F1" i="5"/>
  <c r="I1" i="5"/>
  <c r="L1" i="5"/>
  <c r="G1" i="5"/>
  <c r="AC1" i="5"/>
  <c r="Y1" i="5"/>
  <c r="U1" i="5"/>
  <c r="Q1" i="5"/>
  <c r="M1" i="5"/>
  <c r="S1" i="5"/>
  <c r="H1" i="5"/>
  <c r="AA1" i="5"/>
  <c r="O1" i="5"/>
  <c r="AF1" i="5"/>
  <c r="AB1" i="5"/>
  <c r="X1" i="5"/>
  <c r="T1" i="5"/>
  <c r="P1" i="5"/>
  <c r="D1" i="5"/>
  <c r="C1" i="5"/>
  <c r="AE1" i="5"/>
  <c r="W1" i="5"/>
  <c r="K1" i="5"/>
  <c r="AD1" i="5"/>
  <c r="Z1" i="5"/>
  <c r="V1" i="5"/>
  <c r="R1" i="5"/>
  <c r="N1" i="5"/>
  <c r="J1" i="5"/>
  <c r="B1" i="5"/>
  <c r="M1" i="2"/>
  <c r="L1" i="3"/>
  <c r="D1" i="2"/>
  <c r="T1" i="3"/>
  <c r="I1" i="2"/>
  <c r="D1" i="3"/>
  <c r="K1" i="2"/>
  <c r="AA1" i="3"/>
  <c r="C1" i="2"/>
  <c r="E1" i="3"/>
  <c r="Q1" i="3"/>
  <c r="C1" i="3"/>
  <c r="J1" i="2"/>
  <c r="AB1" i="3"/>
  <c r="P1" i="3"/>
  <c r="I1" i="3"/>
  <c r="Z1" i="3"/>
  <c r="V1" i="3"/>
  <c r="R1" i="3"/>
  <c r="N1" i="3"/>
  <c r="J1" i="3"/>
  <c r="H1" i="2"/>
  <c r="X1" i="3"/>
  <c r="F1" i="2"/>
  <c r="H1" i="3"/>
  <c r="L1" i="2"/>
  <c r="W1" i="3"/>
  <c r="B1" i="2"/>
  <c r="S1" i="3"/>
  <c r="E1" i="2"/>
  <c r="Y1" i="3"/>
  <c r="G1" i="3"/>
  <c r="O1" i="3"/>
  <c r="G1" i="2"/>
  <c r="M1" i="3"/>
  <c r="U1" i="3"/>
  <c r="K1" i="3"/>
  <c r="F1" i="3"/>
  <c r="B1" i="3"/>
  <c r="H24" i="1" l="1"/>
  <c r="H22" i="1"/>
  <c r="H14" i="1"/>
  <c r="H25" i="1"/>
  <c r="H7" i="1"/>
  <c r="H15" i="1"/>
  <c r="H38" i="1"/>
  <c r="H26" i="1"/>
  <c r="H8" i="1"/>
  <c r="H16" i="1"/>
  <c r="H39" i="1"/>
  <c r="H27" i="1"/>
  <c r="H9" i="1"/>
  <c r="H6" i="1"/>
  <c r="H40" i="1"/>
  <c r="H28" i="1"/>
  <c r="H10" i="1"/>
  <c r="H37" i="1"/>
  <c r="H31" i="1"/>
  <c r="H13" i="1"/>
  <c r="H41" i="1"/>
  <c r="H29" i="1"/>
  <c r="H11" i="1"/>
  <c r="H30" i="1"/>
  <c r="H12" i="1"/>
  <c r="H23" i="1"/>
  <c r="I38" i="1"/>
  <c r="I7" i="1"/>
  <c r="I6" i="1"/>
  <c r="I29" i="1"/>
  <c r="I13" i="1"/>
  <c r="I12" i="1"/>
  <c r="I11" i="1"/>
  <c r="I10" i="1"/>
  <c r="I9" i="1"/>
  <c r="I8" i="1"/>
  <c r="G38" i="1"/>
  <c r="J38" i="1"/>
  <c r="J39" i="1"/>
  <c r="K38" i="1"/>
  <c r="K39" i="1"/>
  <c r="L38" i="1"/>
  <c r="L39" i="1"/>
  <c r="D39" i="1"/>
  <c r="D40" i="1"/>
  <c r="D41" i="1"/>
  <c r="L37" i="1"/>
  <c r="F24" i="1"/>
  <c r="E23" i="1"/>
  <c r="E24" i="1"/>
  <c r="L25" i="1"/>
  <c r="L26" i="1"/>
  <c r="L27" i="1"/>
  <c r="L28" i="1"/>
  <c r="D30" i="1"/>
  <c r="D31" i="1"/>
  <c r="L22" i="1"/>
  <c r="E39" i="1"/>
  <c r="E40" i="1"/>
  <c r="E41" i="1"/>
  <c r="K37" i="1"/>
  <c r="G24" i="1"/>
  <c r="F23" i="1"/>
  <c r="D25" i="1"/>
  <c r="D26" i="1"/>
  <c r="D27" i="1"/>
  <c r="D28" i="1"/>
  <c r="D29" i="1"/>
  <c r="E30" i="1"/>
  <c r="E31" i="1"/>
  <c r="K22" i="1"/>
  <c r="F39" i="1"/>
  <c r="F40" i="1"/>
  <c r="F41" i="1"/>
  <c r="J37" i="1"/>
  <c r="I24" i="1"/>
  <c r="G23" i="1"/>
  <c r="E25" i="1"/>
  <c r="E26" i="1"/>
  <c r="E27" i="1"/>
  <c r="E28" i="1"/>
  <c r="E29" i="1"/>
  <c r="F30" i="1"/>
  <c r="F31" i="1"/>
  <c r="J22" i="1"/>
  <c r="G40" i="1"/>
  <c r="G41" i="1"/>
  <c r="I37" i="1"/>
  <c r="J24" i="1"/>
  <c r="I23" i="1"/>
  <c r="F25" i="1"/>
  <c r="F26" i="1"/>
  <c r="F27" i="1"/>
  <c r="F28" i="1"/>
  <c r="F29" i="1"/>
  <c r="G30" i="1"/>
  <c r="G31" i="1"/>
  <c r="I22" i="1"/>
  <c r="I39" i="1"/>
  <c r="I40" i="1"/>
  <c r="I41" i="1"/>
  <c r="G37" i="1"/>
  <c r="K24" i="1"/>
  <c r="J23" i="1"/>
  <c r="G25" i="1"/>
  <c r="G26" i="1"/>
  <c r="G27" i="1"/>
  <c r="G28" i="1"/>
  <c r="G29" i="1"/>
  <c r="I30" i="1"/>
  <c r="I31" i="1"/>
  <c r="G22" i="1"/>
  <c r="J40" i="1"/>
  <c r="J41" i="1"/>
  <c r="F37" i="1"/>
  <c r="L24" i="1"/>
  <c r="K23" i="1"/>
  <c r="I25" i="1"/>
  <c r="I26" i="1"/>
  <c r="I27" i="1"/>
  <c r="I28" i="1"/>
  <c r="J29" i="1"/>
  <c r="J30" i="1"/>
  <c r="J31" i="1"/>
  <c r="F22" i="1"/>
  <c r="K40" i="1"/>
  <c r="K41" i="1"/>
  <c r="D38" i="1"/>
  <c r="E38" i="1"/>
  <c r="F38" i="1"/>
  <c r="G39" i="1"/>
  <c r="J27" i="1"/>
  <c r="K31" i="1"/>
  <c r="J28" i="1"/>
  <c r="K28" i="1"/>
  <c r="D22" i="1"/>
  <c r="J25" i="1"/>
  <c r="K29" i="1"/>
  <c r="K25" i="1"/>
  <c r="J26" i="1"/>
  <c r="K26" i="1"/>
  <c r="L30" i="1"/>
  <c r="D23" i="1"/>
  <c r="K27" i="1"/>
  <c r="L31" i="1"/>
  <c r="L23" i="1"/>
  <c r="E22" i="1"/>
  <c r="D24" i="1"/>
  <c r="L40" i="1"/>
  <c r="L41" i="1"/>
  <c r="L29" i="1"/>
  <c r="E37" i="1"/>
  <c r="K30" i="1"/>
  <c r="D37" i="1"/>
  <c r="L15" i="1"/>
  <c r="G10" i="1"/>
  <c r="F13" i="1"/>
  <c r="E7" i="1"/>
  <c r="D12" i="1"/>
  <c r="G16" i="1"/>
  <c r="K12" i="1"/>
  <c r="K11" i="1"/>
  <c r="F7" i="1"/>
  <c r="E6" i="1"/>
  <c r="G12" i="1"/>
  <c r="D15" i="1"/>
  <c r="J15" i="1"/>
  <c r="F14" i="1"/>
  <c r="K13" i="1"/>
  <c r="G11" i="1"/>
  <c r="I15" i="1"/>
  <c r="J10" i="1"/>
  <c r="I14" i="1"/>
  <c r="K8" i="1"/>
  <c r="G14" i="1"/>
  <c r="D9" i="1"/>
  <c r="L14" i="1"/>
  <c r="L6" i="1"/>
  <c r="F16" i="1"/>
  <c r="K9" i="1"/>
  <c r="K16" i="1"/>
  <c r="F6" i="1"/>
  <c r="F12" i="1"/>
  <c r="J11" i="1"/>
  <c r="K6" i="1"/>
  <c r="J6" i="1"/>
  <c r="F10" i="1"/>
  <c r="G7" i="1"/>
  <c r="D6" i="1"/>
  <c r="D10" i="1"/>
  <c r="D11" i="1"/>
  <c r="J14" i="1"/>
  <c r="L7" i="1"/>
  <c r="L10" i="1"/>
  <c r="D7" i="1"/>
  <c r="G9" i="1"/>
  <c r="J7" i="1"/>
  <c r="E14" i="1"/>
  <c r="E8" i="1"/>
  <c r="J12" i="1"/>
  <c r="K7" i="1"/>
  <c r="D13" i="1"/>
  <c r="L12" i="1"/>
  <c r="K10" i="1"/>
  <c r="E13" i="1"/>
  <c r="F15" i="1"/>
  <c r="L13" i="1"/>
  <c r="G15" i="1"/>
  <c r="L11" i="1"/>
  <c r="J13" i="1"/>
  <c r="L16" i="1"/>
  <c r="D14" i="1"/>
  <c r="I16" i="1"/>
  <c r="E9" i="1"/>
  <c r="J8" i="1"/>
  <c r="E15" i="1"/>
  <c r="F9" i="1"/>
  <c r="E10" i="1"/>
  <c r="J9" i="1"/>
  <c r="E16" i="1"/>
  <c r="J16" i="1"/>
  <c r="G8" i="1"/>
  <c r="L9" i="1"/>
  <c r="D16" i="1"/>
  <c r="K15" i="1"/>
  <c r="F11" i="1"/>
  <c r="D8" i="1"/>
  <c r="L8" i="1"/>
  <c r="E12" i="1"/>
  <c r="K14" i="1"/>
  <c r="G6" i="1"/>
  <c r="G13" i="1"/>
  <c r="F8" i="1"/>
  <c r="E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<sst xmlns="http://schemas.openxmlformats.org/spreadsheetml/2006/main" count="372" uniqueCount="145">
  <si>
    <t>Comparador de Fundos</t>
  </si>
  <si>
    <t>Fundos D+1</t>
  </si>
  <si>
    <t>Nome</t>
  </si>
  <si>
    <t>CNPJ</t>
  </si>
  <si>
    <t>Classificação</t>
  </si>
  <si>
    <t>Gestora</t>
  </si>
  <si>
    <t>Administradora</t>
  </si>
  <si>
    <t>Taxa de Adm.</t>
  </si>
  <si>
    <t>Acumulado</t>
  </si>
  <si>
    <t>Volatilidade</t>
  </si>
  <si>
    <t>PL Atual</t>
  </si>
  <si>
    <t>Início do Fundo</t>
  </si>
  <si>
    <t>Fundos D+30</t>
  </si>
  <si>
    <t>Fundos D+60</t>
  </si>
  <si>
    <t>Renda Fixa Duração Baixa Grau de Investimento</t>
  </si>
  <si>
    <t>ARX Investimentos Ltda.</t>
  </si>
  <si>
    <t>216658&lt;BraNa&gt;</t>
  </si>
  <si>
    <t>Renda Fixa Duração Livre Grau de Investimento</t>
  </si>
  <si>
    <t>BTG Pactual Servicos Financeiros S/A Dtv</t>
  </si>
  <si>
    <t>284491&lt;BraNa&gt;</t>
  </si>
  <si>
    <t>624977&lt;BraNa&gt;</t>
  </si>
  <si>
    <t>462276&lt;BraNa&gt;</t>
  </si>
  <si>
    <t>531553&lt;BraNa&gt;</t>
  </si>
  <si>
    <t>620955&lt;BraNa&gt;</t>
  </si>
  <si>
    <t>387444&lt;BraNa&gt;</t>
  </si>
  <si>
    <t>456497&lt;BraNa&gt;</t>
  </si>
  <si>
    <t>393185&lt;BraNa&gt;</t>
  </si>
  <si>
    <t>Capitânia Top Cred Priv Fc FIF RF - Resp Limitada</t>
  </si>
  <si>
    <t>Classe Unica de Cotas do Af Horizonte Fundo de Inv</t>
  </si>
  <si>
    <t>Classe Única de Cotas do Riza Lotus Fundo de Inves</t>
  </si>
  <si>
    <t>Classe Única de Cotas do Riza Lotus Plus Advisory</t>
  </si>
  <si>
    <t>Jgp Select Fc FIF Mult Cred Priv - Resp Limitada</t>
  </si>
  <si>
    <t>Inter Distribuidora de Títulos e Valores</t>
  </si>
  <si>
    <t>Intrag Dist. de Títu</t>
  </si>
  <si>
    <t>Renda Fixa Duração Livre Crédito Livre</t>
  </si>
  <si>
    <t>Multimercados Livre</t>
  </si>
  <si>
    <t>Renda Fixa Duração Média Crédito Livre</t>
  </si>
  <si>
    <t>Multimercados Estratégia Específica</t>
  </si>
  <si>
    <t>Capitania Capital</t>
  </si>
  <si>
    <t>Absolute Crédito</t>
  </si>
  <si>
    <t>Riza Líquidos</t>
  </si>
  <si>
    <t>Inter Asset</t>
  </si>
  <si>
    <t>Iridium Gestão de Recursos Ltda.</t>
  </si>
  <si>
    <t>Jgp Gestão de Crédito Ltda.</t>
  </si>
  <si>
    <t>634468&lt;BraNa&gt;</t>
  </si>
  <si>
    <t>526886&lt;BraNa&gt;</t>
  </si>
  <si>
    <t>601462&lt;BraNa&gt;</t>
  </si>
  <si>
    <t>677930&lt;BraNa&gt;</t>
  </si>
  <si>
    <t>678007&lt;BraNa&gt;</t>
  </si>
  <si>
    <t>687138&lt;BraNa&gt;</t>
  </si>
  <si>
    <t>489956&lt;BraNa&gt;</t>
  </si>
  <si>
    <t>470473&lt;BraNa&gt;</t>
  </si>
  <si>
    <t>259624&lt;BraNa&gt;</t>
  </si>
  <si>
    <t>494607&lt;BraNa&gt;</t>
  </si>
  <si>
    <t>635091&lt;BraNa&gt;</t>
  </si>
  <si>
    <t>478008&lt;BraNa&gt;</t>
  </si>
  <si>
    <t>414972&lt;BraNa&gt;</t>
  </si>
  <si>
    <t>361445&lt;BraNa&gt;</t>
  </si>
  <si>
    <t>523666&lt;BraNa&gt;</t>
  </si>
  <si>
    <t>493831&lt;BraNa&gt;</t>
  </si>
  <si>
    <t>494089&lt;BraNa&gt;</t>
  </si>
  <si>
    <t>Daycoval Asset Manag</t>
  </si>
  <si>
    <t>Nu Asset Management Ltda.</t>
  </si>
  <si>
    <t>Polo Capital Gestão de Recurso</t>
  </si>
  <si>
    <t>ARX Vinson Adv Fc FIF RF Cred Priv - Resp Limitada</t>
  </si>
  <si>
    <t>Classe Única de Cotas do Absolute Olimpia Fundo de</t>
  </si>
  <si>
    <t>Porto Seguro FIF RF Ref DI Créd Priv Resp Limitada</t>
  </si>
  <si>
    <t>Renda Fixa Duração Média Grau de Investimento</t>
  </si>
  <si>
    <t>09.720.734/0001-10</t>
  </si>
  <si>
    <t>41.888.219/0001-56</t>
  </si>
  <si>
    <t>13.615.411/0001-33</t>
  </si>
  <si>
    <t>36.498.670/0001-27</t>
  </si>
  <si>
    <t>28.320.756/0001-37</t>
  </si>
  <si>
    <t>10.783.480/0001-68</t>
  </si>
  <si>
    <t>26.978.438/0001-32</t>
  </si>
  <si>
    <t>18.719.154/0001-01</t>
  </si>
  <si>
    <t>42.699.466/0001-77</t>
  </si>
  <si>
    <t>20.879.578/0001-77</t>
  </si>
  <si>
    <t>48.096.589/0001-08</t>
  </si>
  <si>
    <t>GERAES</t>
  </si>
  <si>
    <t>ARX Denali</t>
  </si>
  <si>
    <t>Riza Lotus</t>
  </si>
  <si>
    <t>Western Asset Total</t>
  </si>
  <si>
    <t>Daycoval Classic</t>
  </si>
  <si>
    <t>Iridium Apollo</t>
  </si>
  <si>
    <t>Porto Seguro FIRF</t>
  </si>
  <si>
    <t>Nu Reserva Imediata</t>
  </si>
  <si>
    <t>Inter Conservador</t>
  </si>
  <si>
    <t>Absolute Atenas</t>
  </si>
  <si>
    <t>Capitânia Top</t>
  </si>
  <si>
    <t>Geraes 30</t>
  </si>
  <si>
    <t>29.044.189/0001-04</t>
  </si>
  <si>
    <t>Daycoval Classic 30</t>
  </si>
  <si>
    <t>29.250.121/0001-73</t>
  </si>
  <si>
    <t>Riza Lotus Plus</t>
  </si>
  <si>
    <t>43.917.493/0001-31</t>
  </si>
  <si>
    <t>ARX Vinson Advisory</t>
  </si>
  <si>
    <t>41.888.492/0001-80</t>
  </si>
  <si>
    <t>Sparta Max Advisory</t>
  </si>
  <si>
    <t>32.757.330/0001-12</t>
  </si>
  <si>
    <t>Polo Crédito Corporativo</t>
  </si>
  <si>
    <t>31.455.879/0001-90</t>
  </si>
  <si>
    <t>Iridium Titan Advisory</t>
  </si>
  <si>
    <t>32.756.812/0001-58</t>
  </si>
  <si>
    <t>Porto Seguro Ipê</t>
  </si>
  <si>
    <t>35.378.376/0001-19</t>
  </si>
  <si>
    <t>Sparta Top Advisory</t>
  </si>
  <si>
    <t>32.846.811/0001-02</t>
  </si>
  <si>
    <t>Absolute Creta</t>
  </si>
  <si>
    <t>48.122.126/0001-65</t>
  </si>
  <si>
    <t>Horizonte</t>
  </si>
  <si>
    <t>44.025.131/0001-07</t>
  </si>
  <si>
    <t>JGP Select</t>
  </si>
  <si>
    <t>21.946.695/0001-79</t>
  </si>
  <si>
    <t>ARX Everest Advisory</t>
  </si>
  <si>
    <t>35.789.436/0001-96</t>
  </si>
  <si>
    <t>Polo Total</t>
  </si>
  <si>
    <t>23.601.467/0001-92</t>
  </si>
  <si>
    <t>Absolute Olimpia</t>
  </si>
  <si>
    <t>48.986.106/0001-32</t>
  </si>
  <si>
    <t>ARX Denali Advisory Fc FIF RF Créd Priv - Resp Lim</t>
  </si>
  <si>
    <t>Classe Única de Cotas do Absolute Creta Advisory F</t>
  </si>
  <si>
    <t>Nu Reserva Imediata FIF Cic RF Ref DI Resp Limitad</t>
  </si>
  <si>
    <t>Classe Única de Cotas do Absolute Atenas Advisory FI Financeiro em Cota</t>
  </si>
  <si>
    <t>Classe Única do Western Asset Total Credit Advisory FIC de Fund</t>
  </si>
  <si>
    <t>Daycoval Classic 30 Classe de Investimento RF Cred Priv Resp Limitada</t>
  </si>
  <si>
    <t>BNY Mellon Serviços Financeiros Dtvm S/A</t>
  </si>
  <si>
    <t>Banco BNP Paribas Brasil S/A</t>
  </si>
  <si>
    <t>Banco Daycoval S.A.</t>
  </si>
  <si>
    <t>Franklin Templeton Brasil Ltda</t>
  </si>
  <si>
    <t>Porto Seguro Investimentos Ltda.</t>
  </si>
  <si>
    <t>Sparta Administradora de Recursos Ltda</t>
  </si>
  <si>
    <t>ARX Everest Advisory Fc FIF RF Cred Priv - Resp Limitada</t>
  </si>
  <si>
    <t>Classe Única de Cotas do Af Invest Geraes 30 FI Financeiro RF -</t>
  </si>
  <si>
    <t>Classe Única de Cotas do Af Invest Geraes FI Financeiro RF - Cr</t>
  </si>
  <si>
    <t>Daycoval Classic Classe de Investimento em Cotas de FI RF Cred Priv Resp Limitada Cred Pri</t>
  </si>
  <si>
    <t>Inter Conservador FI Financeiro RF Cred Priv Responsabili</t>
  </si>
  <si>
    <t>Iridium Apollo Fc FIF RF Cred Priv LP - Resp Limitada</t>
  </si>
  <si>
    <t>Iridium Titan Advisory Fc FIF RF Cred Priv ? Resp Limitada</t>
  </si>
  <si>
    <t>Polo Crédito Corporativo Advisory Fc FIF RF Cred Priv LP - Resp Limitada</t>
  </si>
  <si>
    <t>Polo Total Credit Fc FIF Mult Cred Priv - Resp Limitada</t>
  </si>
  <si>
    <t>Porto Seguro Ipê FIF da Cic RF Créd Priv LP Resp Limitada</t>
  </si>
  <si>
    <t>Sparta Max Advisory Fc FIF RF Cred Priv LP - Resp Limitada</t>
  </si>
  <si>
    <t>Sparta Top Adv Fc FI RF Cred Priv LP - Resp Limitada</t>
  </si>
  <si>
    <t>Af Invest Administração de Recursos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</si>
</sst>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AB2DE"/>
        <bgColor indexed="64"/>
      </patternFill>
    </fill>
    <fill>
      <patternFill patternType="solid">
        <fgColor rgb="FF678CC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0" fillId="0" borderId="0" xfId="1" applyNumberFormat="1" applyFont="1"/>
    <xf numFmtId="14" fontId="0" fillId="0" borderId="0" xfId="0" applyNumberFormat="1"/>
    <xf numFmtId="14" fontId="0" fillId="0" borderId="1" xfId="0" applyNumberFormat="1" applyBorder="1"/>
    <xf numFmtId="43" fontId="0" fillId="0" borderId="1" xfId="1" applyFont="1" applyBorder="1" applyAlignment="1">
      <alignment horizontal="right"/>
    </xf>
    <xf numFmtId="17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0" fillId="0" borderId="0" xfId="0" applyNumberFormat="1"/>
    <xf numFmtId="0" fontId="3" fillId="0" borderId="0" xfId="0" applyFont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43" fontId="0" fillId="0" borderId="0" xfId="1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678CCF"/>
      <color rgb="FF9AB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eco_bca00b7fbcc54836af7ee0de64517868">
      <tp>
        <v>3</v>
        <stp/>
        <stp>3b77e874-bf8f-47e1-bb9b-f0c2ed281ad3</stp>
        <tr r="N1" s="3"/>
      </tp>
    </main>
    <main first="rtdsrv_eco_bca00b7fbcc54836af7ee0de64517868">
      <tp>
        <v>3</v>
        <stp/>
        <stp>82a816f6-f55f-4b43-af1b-46a52eacd7f9</stp>
        <tr r="C1" s="3"/>
      </tp>
      <tp>
        <v>3</v>
        <stp/>
        <stp>be45558d-caf2-4cd8-b34a-d098f8457315</stp>
        <tr r="Q1" s="5"/>
      </tp>
      <tp>
        <v>3</v>
        <stp/>
        <stp>ed77266b-abf1-4ef6-adf6-2af691d0d7dd</stp>
        <tr r="E1" s="2"/>
      </tp>
      <tp>
        <v>3</v>
        <stp/>
        <stp>7dd90118-b8f0-44b6-b661-3e187308eeb5</stp>
        <tr r="F1" s="5"/>
      </tp>
    </main>
    <main first="rtdsrv_eco_bca00b7fbcc54836af7ee0de64517868">
      <tp>
        <v>3</v>
        <stp/>
        <stp>2546e6ea-3fe8-4c16-a992-88a760d26071</stp>
        <tr r="AF1" s="5"/>
      </tp>
    </main>
    <main first="rtdsrv_eco_bca00b7fbcc54836af7ee0de64517868">
      <tp>
        <v>3</v>
        <stp/>
        <stp>128c8366-30f1-4bd6-ad3f-e40e2ab01efb</stp>
        <tr r="Z1" s="3"/>
      </tp>
      <tp>
        <v>3</v>
        <stp/>
        <stp>184006c0-5126-48bb-aa40-2ff50510686f</stp>
        <tr r="K1" s="3"/>
      </tp>
      <tp>
        <v>3</v>
        <stp/>
        <stp>1c3184ca-8c03-4497-9d55-06627ee748ba</stp>
        <tr r="I1" s="2"/>
      </tp>
      <tp>
        <v>3</v>
        <stp/>
        <stp>bdd29bfe-f006-41ac-8cc7-a28a72173f56</stp>
        <tr r="T1" s="5"/>
      </tp>
    </main>
    <main first="rtdsrv_eco_bca00b7fbcc54836af7ee0de64517868">
      <tp>
        <v>3</v>
        <stp/>
        <stp>d9342a82-49d4-4333-8d47-e9d525caafde</stp>
        <tr r="S1" s="5"/>
      </tp>
    </main>
    <main first="rtdsrv_eco_bca00b7fbcc54836af7ee0de64517868">
      <tp>
        <v>3</v>
        <stp/>
        <stp>9670dc36-63ed-418b-b072-c6dcb0f7e057</stp>
        <tr r="M1" s="3"/>
      </tp>
    </main>
    <main first="rtdsrv_eco_bca00b7fbcc54836af7ee0de64517868">
      <tp>
        <v>3</v>
        <stp/>
        <stp>ca425397-4800-47b4-b739-4d1bf426622f</stp>
        <tr r="G1" s="5"/>
      </tp>
      <tp>
        <v>3</v>
        <stp/>
        <stp>8eb7aeea-c1db-4e67-ba46-670415bbea80</stp>
        <tr r="S1" s="3"/>
      </tp>
      <tp>
        <v>3</v>
        <stp/>
        <stp>ffd8194a-9374-4e16-a844-2dbb4c43da5d</stp>
        <tr r="D1" s="2"/>
      </tp>
      <tp>
        <v>3</v>
        <stp/>
        <stp>47119dba-f4f1-413e-a5d9-e333115e74f2</stp>
        <tr r="I1" s="3"/>
      </tp>
      <tp>
        <v>3</v>
        <stp/>
        <stp>8352eee6-0030-4c71-a9cf-e403fdf2cf34</stp>
        <tr r="AB1" s="5"/>
      </tp>
    </main>
    <main first="rtdsrv_eco_bca00b7fbcc54836af7ee0de64517868">
      <tp>
        <v>3</v>
        <stp/>
        <stp>09b68ee2-c83c-409f-b52d-bfe196bd8946</stp>
        <tr r="K1" s="5"/>
      </tp>
      <tp>
        <v>3</v>
        <stp/>
        <stp>776dd51f-610b-4899-8e45-60ae36f5d222</stp>
        <tr r="C1" s="5"/>
      </tp>
    </main>
    <main first="rtdsrv_eco_bca00b7fbcc54836af7ee0de64517868">
      <tp>
        <v>3</v>
        <stp/>
        <stp>f872c7a3-56c4-4937-ba52-8eee02ccfcbc</stp>
        <tr r="J1" s="3"/>
      </tp>
    </main>
    <main first="rtdsrv_eco_bca00b7fbcc54836af7ee0de64517868">
      <tp>
        <v>3</v>
        <stp/>
        <stp>19d3c32b-a401-464f-b012-b1e33e895df9</stp>
        <tr r="B1" s="3"/>
      </tp>
      <tp>
        <v>3</v>
        <stp/>
        <stp>227f1d7b-7562-4bd3-85be-04fc83d1c8e5</stp>
        <tr r="G1" s="3"/>
      </tp>
    </main>
    <main first="rtdsrv_eco_bca00b7fbcc54836af7ee0de64517868">
      <tp>
        <v>3</v>
        <stp/>
        <stp>3827c491-f550-43b6-a2db-7219704d24ef</stp>
        <tr r="U1" s="5"/>
      </tp>
    </main>
    <main first="rtdsrv_eco_bca00b7fbcc54836af7ee0de64517868">
      <tp>
        <v>3</v>
        <stp/>
        <stp>f38e78a0-cbec-4e1c-bad0-6e4bef276b74</stp>
        <tr r="X1" s="5"/>
      </tp>
      <tp>
        <v>3</v>
        <stp/>
        <stp>cda230e5-003e-488c-89bc-f831963fcbf7</stp>
        <tr r="W1" s="3"/>
      </tp>
      <tp>
        <v>3</v>
        <stp/>
        <stp>38a78cb8-3a31-41b6-86bf-41b597ede3e7</stp>
        <tr r="X1" s="3"/>
      </tp>
      <tp>
        <v>3</v>
        <stp/>
        <stp>bcda5a1e-785b-4102-b993-25eccf6dbe1a</stp>
        <tr r="Q1" s="3"/>
      </tp>
      <tp>
        <v>3</v>
        <stp/>
        <stp>cf939fea-1a37-453b-884c-7f21b99ad04d</stp>
        <tr r="E1" s="5"/>
      </tp>
      <tp>
        <v>3</v>
        <stp/>
        <stp>685f760d-f9dc-4ce3-b915-963a0571cac9</stp>
        <tr r="F1" s="2"/>
      </tp>
      <tp>
        <v>3</v>
        <stp/>
        <stp>68943de3-3fc9-47e5-9045-74d8ca44d340</stp>
        <tr r="J1" s="5"/>
      </tp>
    </main>
    <main first="rtdsrv_eco_bca00b7fbcc54836af7ee0de64517868">
      <tp>
        <v>3</v>
        <stp/>
        <stp>1d4179c3-6aad-4d7d-aed3-80566e2c359e</stp>
        <tr r="I1" s="5"/>
      </tp>
      <tp>
        <v>3</v>
        <stp/>
        <stp>c257bae3-6530-4c58-b13b-fc9d63ee859d</stp>
        <tr r="B1" s="2"/>
      </tp>
    </main>
    <main first="rtdsrv_eco_bca00b7fbcc54836af7ee0de64517868">
      <tp>
        <v>3</v>
        <stp/>
        <stp>4a657549-a764-425e-b808-1f23d9954554</stp>
        <tr r="V1" s="3"/>
      </tp>
      <tp>
        <v>3</v>
        <stp/>
        <stp>05b3295f-f50b-402e-9301-b078eac57d5a</stp>
        <tr r="E1" s="3"/>
      </tp>
      <tp>
        <v>3</v>
        <stp/>
        <stp>5695a98e-7ddd-46dc-89d8-8bae44671c50</stp>
        <tr r="L1" s="5"/>
      </tp>
    </main>
    <main first="rtdsrv_eco_bca00b7fbcc54836af7ee0de64517868">
      <tp>
        <v>3</v>
        <stp/>
        <stp>630955e3-a8c3-4c1b-b99a-3bb90330198e</stp>
        <tr r="AD1" s="5"/>
      </tp>
      <tp>
        <v>3</v>
        <stp/>
        <stp>61c99c31-6100-4d95-adf7-139c0e81c6fb</stp>
        <tr r="AE1" s="5"/>
      </tp>
      <tp>
        <v>3</v>
        <stp/>
        <stp>a2f18830-089b-47ee-b483-8988d0d4c991</stp>
        <tr r="AA1" s="5"/>
      </tp>
    </main>
    <main first="rtdsrv_eco_bca00b7fbcc54836af7ee0de64517868">
      <tp>
        <v>3</v>
        <stp/>
        <stp>bc5c86e0-0e94-4f5f-b43f-552506faae1f</stp>
        <tr r="C1" s="2"/>
      </tp>
      <tp>
        <v>3</v>
        <stp/>
        <stp>cbf11180-687b-42f2-b346-c721d43836c8</stp>
        <tr r="AC1" s="5"/>
      </tp>
      <tp>
        <v>3</v>
        <stp/>
        <stp>e2a28444-67fa-44df-b5da-e1792c40e6e9</stp>
        <tr r="P1" s="3"/>
      </tp>
    </main>
    <main first="rtdsrv_eco_bca00b7fbcc54836af7ee0de64517868">
      <tp>
        <v>3</v>
        <stp/>
        <stp>a14e8561-a203-4381-b4a0-545336aa7fb9</stp>
        <tr r="U1" s="3"/>
      </tp>
    </main>
    <main first="rtdsrv_eco_bca00b7fbcc54836af7ee0de64517868">
      <tp>
        <v>3</v>
        <stp/>
        <stp>6d5c59da-84fe-4175-a19b-3650e8779748</stp>
        <tr r="Y1" s="5"/>
      </tp>
      <tp>
        <v>3</v>
        <stp/>
        <stp>585f3f45-2ea2-4432-a302-786dab3f0dbf</stp>
        <tr r="J1" s="2"/>
      </tp>
    </main>
    <main first="rtdsrv_eco_bca00b7fbcc54836af7ee0de64517868">
      <tp>
        <v>3</v>
        <stp/>
        <stp>a5baef62-5c7e-4f0f-a0d7-e4c8a2390202</stp>
        <tr r="T1" s="3"/>
      </tp>
    </main>
    <main first="rtdsrv_eco_bca00b7fbcc54836af7ee0de64517868">
      <tp>
        <v>3</v>
        <stp/>
        <stp>51f0a601-a61d-4d34-8474-3dc81cb6b111</stp>
        <tr r="R1" s="5"/>
      </tp>
    </main>
    <main first="rtdsrv_eco_bca00b7fbcc54836af7ee0de64517868">
      <tp>
        <v>3</v>
        <stp/>
        <stp>be5520fe-ecbf-4324-bde5-c6eb6681b23b</stp>
        <tr r="O1" s="3"/>
      </tp>
      <tp>
        <v>3</v>
        <stp/>
        <stp>5bb2b732-2ecd-46ac-982e-437a45fb5b73</stp>
        <tr r="H1" s="3"/>
      </tp>
      <tp>
        <v>3</v>
        <stp/>
        <stp>83a460fd-897a-4b90-b098-baef9db56e12</stp>
        <tr r="L1" s="3"/>
      </tp>
      <tp>
        <v>3</v>
        <stp/>
        <stp>bc4d2ce5-0f88-44f7-b5f1-cfdcbf0e6332</stp>
        <tr r="Z1" s="5"/>
      </tp>
      <tp>
        <v>3</v>
        <stp/>
        <stp>fc7d35f9-e700-4b13-9018-51d59dd4b633</stp>
        <tr r="M1" s="5"/>
      </tp>
      <tp>
        <v>3</v>
        <stp/>
        <stp>e8ad7834-a1d5-4a2f-8463-4f7ca908e394</stp>
        <tr r="W1" s="5"/>
      </tp>
      <tp>
        <v>3</v>
        <stp/>
        <stp>b791637f-1bbc-445a-a9ae-79524a69618a</stp>
        <tr r="N1" s="5"/>
      </tp>
      <tp>
        <v>3</v>
        <stp/>
        <stp>2f6e76be-9891-4af0-beaf-254cadeeb5ec</stp>
        <tr r="L1" s="2"/>
      </tp>
    </main>
    <main first="rtdsrv_eco_bca00b7fbcc54836af7ee0de64517868">
      <tp>
        <v>3</v>
        <stp/>
        <stp>2e3a483b-9143-48f8-8b72-2756232a53f3</stp>
        <tr r="D1" s="5"/>
      </tp>
    </main>
    <main first="rtdsrv_eco_bca00b7fbcc54836af7ee0de64517868">
      <tp>
        <v>3</v>
        <stp/>
        <stp>f767957c-17e9-48b4-a6a1-2f126f30694e</stp>
        <tr r="Y1" s="3"/>
      </tp>
      <tp>
        <v>3</v>
        <stp/>
        <stp>3196b8c2-98f1-4ec5-be4f-9c5bc8312527</stp>
        <tr r="F1" s="3"/>
      </tp>
      <tp>
        <v>3</v>
        <stp/>
        <stp>7307760f-80b1-49a7-847f-af32efbd9b5d</stp>
        <tr r="AA1" s="3"/>
      </tp>
    </main>
    <main first="rtdsrv_eco_bca00b7fbcc54836af7ee0de64517868">
      <tp>
        <v>3</v>
        <stp/>
        <stp>1e7e5db7-a7ff-458e-b08d-ce6b90c5976c</stp>
        <tr r="M1" s="2"/>
      </tp>
      <tp>
        <v>3</v>
        <stp/>
        <stp>9b82c1db-9161-4853-aa5c-727563f6b233</stp>
        <tr r="O1" s="5"/>
      </tp>
      <tp>
        <v>3</v>
        <stp/>
        <stp>d61efba3-1622-4b9c-827c-d306ed1f88ff</stp>
        <tr r="AB1" s="3"/>
      </tp>
    </main>
    <main first="rtdsrv_eco_bca00b7fbcc54836af7ee0de64517868">
      <tp>
        <v>3</v>
        <stp/>
        <stp>ccb57eac-95ec-40f0-955d-e11e40c06be7</stp>
        <tr r="V1" s="5"/>
      </tp>
    </main>
    <main first="rtdsrv_eco_bca00b7fbcc54836af7ee0de64517868">
      <tp>
        <v>3</v>
        <stp/>
        <stp>9c2a4ff6-3ebd-4549-bbb4-348538801902</stp>
        <tr r="H1" s="5"/>
      </tp>
      <tp>
        <v>3</v>
        <stp/>
        <stp>bbde76c2-02af-49eb-b703-017699646f3c</stp>
        <tr r="R1" s="3"/>
      </tp>
    </main>
    <main first="rtdsrv_eco_bca00b7fbcc54836af7ee0de64517868">
      <tp>
        <v>3</v>
        <stp/>
        <stp>b0130280-1291-4df8-8a05-722077feeeeb</stp>
        <tr r="B1" s="5"/>
      </tp>
      <tp>
        <v>3</v>
        <stp/>
        <stp>5f9989b9-8064-44e6-b5e8-4383a969aefc</stp>
        <tr r="P1" s="5"/>
      </tp>
    </main>
    <main first="rtdsrv_eco_bca00b7fbcc54836af7ee0de64517868">
      <tp>
        <v>3</v>
        <stp/>
        <stp>ee30f908-afb7-4341-8f0a-95f2f23eeadf</stp>
        <tr r="H1" s="2"/>
      </tp>
    </main>
    <main first="rtdsrv_eco_bca00b7fbcc54836af7ee0de64517868">
      <tp>
        <v>3</v>
        <stp/>
        <stp>0ba81b6f-7a41-43a5-96d1-d78b89ee92ab</stp>
        <tr r="G1" s="2"/>
      </tp>
      <tp>
        <v>3</v>
        <stp/>
        <stp>31dba070-4588-4529-a02a-414aee5490a2</stp>
        <tr r="D1" s="3"/>
      </tp>
      <tp>
        <v>3</v>
        <stp/>
        <stp>61ec47ac-951a-4e42-8535-d7512abe4289</stp>
        <tr r="K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5E3E-7AC2-4B2B-88F3-110225ABBC80}">
  <dimension ref="A2:L41"/>
  <sheetViews>
    <sheetView showGridLines="0" tabSelected="1" topLeftCell="D1" workbookViewId="0">
      <selection activeCell="J12" sqref="J10:L12"/>
    </sheetView>
  </sheetViews>
  <sheetFormatPr defaultRowHeight="15" x14ac:dyDescent="0.25"/>
  <cols>
    <col min="1" max="1" width="9.140625" style="11"/>
    <col min="2" max="2" width="19.5703125" bestFit="1" customWidth="1"/>
    <col min="3" max="3" width="18" bestFit="1" customWidth="1"/>
    <col min="4" max="4" width="43.5703125" bestFit="1" customWidth="1"/>
    <col min="5" max="5" width="42.85546875" bestFit="1" customWidth="1"/>
    <col min="6" max="6" width="37.42578125" bestFit="1" customWidth="1"/>
    <col min="7" max="7" width="12.85546875" bestFit="1" customWidth="1"/>
    <col min="8" max="8" width="9.140625" style="1"/>
    <col min="9" max="9" width="12.5703125" style="1" bestFit="1" customWidth="1"/>
    <col min="10" max="10" width="11.85546875" bestFit="1" customWidth="1"/>
    <col min="11" max="11" width="13.28515625" bestFit="1" customWidth="1"/>
    <col min="12" max="12" width="14.5703125" bestFit="1" customWidth="1"/>
  </cols>
  <sheetData>
    <row r="2" spans="1:12" ht="26.25" x14ac:dyDescent="0.4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x14ac:dyDescent="0.25">
      <c r="B4" s="27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25">
      <c r="B5" s="19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8" t="s">
        <v>7</v>
      </c>
      <c r="H5" s="7">
        <v>46113</v>
      </c>
      <c r="I5" s="8" t="s">
        <v>8</v>
      </c>
      <c r="J5" s="8" t="s">
        <v>9</v>
      </c>
      <c r="K5" s="8" t="s">
        <v>10</v>
      </c>
      <c r="L5" s="8" t="s">
        <v>11</v>
      </c>
    </row>
    <row r="6" spans="1:12" x14ac:dyDescent="0.25">
      <c r="A6" s="11">
        <v>216658</v>
      </c>
      <c r="B6" s="2" t="s">
        <v>79</v>
      </c>
      <c r="C6" s="2" t="s">
        <v>68</v>
      </c>
      <c r="D6" s="2" t="str">
        <f>INDEX(Planilha2!$E:$E,MATCH(CAPA!A6,Planilha2!$D:$D,0))</f>
        <v>Renda Fixa Duração Livre Grau de Investimento</v>
      </c>
      <c r="E6" s="2" t="str">
        <f>INDEX(Planilha2!$F:$F,MATCH(CAPA!A6,Planilha2!$D:$D,0))</f>
        <v>Af Invest Administração de Recursos Ltda</v>
      </c>
      <c r="F6" s="2" t="str">
        <f>INDEX(Planilha2!$G:$G,MATCH(CAPA!A6,Planilha2!$D:$D,0))</f>
        <v>BTG Pactual Servicos Financeiros S/A Dtv</v>
      </c>
      <c r="G6" s="17">
        <f>INDEX(Planilha2!$H:$H,MATCH(CAPA!A6,Planilha2!$D:$D,0))</f>
        <v>0</v>
      </c>
      <c r="H6" s="9">
        <f>(_xlfn.XLOOKUP(A6,Cotas!$C$1:$C$27,Cotas!$E$1:$E$27)/_xlfn.XLOOKUP(A6,Cotas!$C$1:$C$27,Cotas!$F$1:$F$27))-1</f>
        <v>1.0127894988227082E-2</v>
      </c>
      <c r="I6" s="9">
        <f>(INDEX(Planilha2!$J:$J,MATCH(A6,Planilha2!$D:$D,0)))/Cotas!G11-1</f>
        <v>4.4968332000000002</v>
      </c>
      <c r="J6" s="18">
        <f>INDEX(Planilha2!$L:$L,MATCH(CAPA!A6,Planilha2!$D:$D,0))</f>
        <v>0.63200305878999996</v>
      </c>
      <c r="K6" s="6">
        <f>INDEX(Planilha2!$M:$M,MATCH(CAPA!A6,Planilha2!$D:$D,0))</f>
        <v>539746.10852000001</v>
      </c>
      <c r="L6" s="5">
        <f>INDEX(Planilha2!$K:$K,MATCH(CAPA!A6,Planilha2!$D:$D,0))</f>
        <v>39702</v>
      </c>
    </row>
    <row r="7" spans="1:12" x14ac:dyDescent="0.25">
      <c r="A7" s="11">
        <v>634468</v>
      </c>
      <c r="B7" s="2" t="s">
        <v>80</v>
      </c>
      <c r="C7" s="2" t="s">
        <v>69</v>
      </c>
      <c r="D7" s="2" t="str">
        <f>INDEX(Planilha2!$E:$E,MATCH(CAPA!A7,Planilha2!$D:$D,0))</f>
        <v>Renda Fixa Duração Baixa Grau de Investimento</v>
      </c>
      <c r="E7" s="2" t="str">
        <f>INDEX(Planilha2!$F:$F,MATCH(CAPA!A7,Planilha2!$D:$D,0))</f>
        <v>ARX Investimentos Ltda.</v>
      </c>
      <c r="F7" s="2" t="str">
        <f>INDEX(Planilha2!$G:$G,MATCH(CAPA!A7,Planilha2!$D:$D,0))</f>
        <v>BNY Mellon Serviços Financeiros Dtvm S/A</v>
      </c>
      <c r="G7" s="20">
        <f>INDEX(Planilha2!$H:$H,MATCH(CAPA!A7,Planilha2!$D:$D,0))</f>
        <v>0</v>
      </c>
      <c r="H7" s="9">
        <f>(_xlfn.XLOOKUP(A7,Cotas!$C$1:$C$27,Cotas!$E$1:$E$27)/_xlfn.XLOOKUP(A7,Cotas!$C$1:$C$27,Cotas!$F$1:$F$27))-1</f>
        <v>1.1376612155350019E-2</v>
      </c>
      <c r="I7" s="9">
        <f>(INDEX(Planilha2!$J:$J,MATCH(A7,Planilha2!$D:$D,0)))/Cotas!H2-1</f>
        <v>0.76622609999999991</v>
      </c>
      <c r="J7" s="18">
        <f>INDEX(Planilha2!$L:$L,MATCH(CAPA!A7,Planilha2!$D:$D,0))</f>
        <v>0.37074900425000001</v>
      </c>
      <c r="K7" s="6">
        <f>INDEX(Planilha2!$M:$M,MATCH(CAPA!A7,Planilha2!$D:$D,0))</f>
        <v>1598464.3067000001</v>
      </c>
      <c r="L7" s="5">
        <f>INDEX(Planilha2!$K:$K,MATCH(CAPA!A7,Planilha2!$D:$D,0))</f>
        <v>44413</v>
      </c>
    </row>
    <row r="8" spans="1:12" x14ac:dyDescent="0.25">
      <c r="A8" s="11">
        <v>284491</v>
      </c>
      <c r="B8" s="2" t="s">
        <v>89</v>
      </c>
      <c r="C8" s="2" t="s">
        <v>70</v>
      </c>
      <c r="D8" s="2" t="str">
        <f>INDEX(Planilha2!$E:$E,MATCH(CAPA!A8,Planilha2!$D:$D,0))</f>
        <v>Renda Fixa Duração Média Crédito Livre</v>
      </c>
      <c r="E8" s="2" t="str">
        <f>INDEX(Planilha2!$F:$F,MATCH(CAPA!A8,Planilha2!$D:$D,0))</f>
        <v>Capitania Capital</v>
      </c>
      <c r="F8" s="2" t="str">
        <f>INDEX(Planilha2!$G:$G,MATCH(CAPA!A8,Planilha2!$D:$D,0))</f>
        <v>BNY Mellon Serviços Financeiros Dtvm S/A</v>
      </c>
      <c r="G8" s="17">
        <f>INDEX(Planilha2!$H:$H,MATCH(CAPA!A8,Planilha2!$D:$D,0))</f>
        <v>0</v>
      </c>
      <c r="H8" s="9">
        <f>(_xlfn.XLOOKUP(A8,Cotas!$C$1:$C$27,Cotas!$E$1:$E$27)/_xlfn.XLOOKUP(A8,Cotas!$C$1:$C$27,Cotas!$F$1:$F$27))-1</f>
        <v>1.3949155007080938E-2</v>
      </c>
      <c r="I8" s="9">
        <f>(INDEX(Planilha2!$J:$J,MATCH(A8,Planilha2!$D:$D,0)))/Cotas!I5-1</f>
        <v>2.831057506249103</v>
      </c>
      <c r="J8" s="18">
        <f>INDEX(Planilha2!$L:$L,MATCH(CAPA!A8,Planilha2!$D:$D,0))</f>
        <v>0.88878194621999995</v>
      </c>
      <c r="K8" s="6">
        <f>INDEX(Planilha2!$M:$M,MATCH(CAPA!A8,Planilha2!$D:$D,0))</f>
        <v>203260.46554999999</v>
      </c>
      <c r="L8" s="5">
        <f>INDEX(Planilha2!$K:$K,MATCH(CAPA!A8,Planilha2!$D:$D,0))</f>
        <v>39589</v>
      </c>
    </row>
    <row r="9" spans="1:12" x14ac:dyDescent="0.25">
      <c r="A9" s="11">
        <v>531553</v>
      </c>
      <c r="B9" s="2" t="s">
        <v>81</v>
      </c>
      <c r="C9" s="2" t="s">
        <v>71</v>
      </c>
      <c r="D9" s="2" t="str">
        <f>INDEX(Planilha2!$E:$E,MATCH(CAPA!A9,Planilha2!$D:$D,0))</f>
        <v>Renda Fixa Duração Livre Grau de Investimento</v>
      </c>
      <c r="E9" s="2" t="str">
        <f>INDEX(Planilha2!$F:$F,MATCH(CAPA!A9,Planilha2!$D:$D,0))</f>
        <v>Riza Líquidos</v>
      </c>
      <c r="F9" s="2" t="str">
        <f>INDEX(Planilha2!$G:$G,MATCH(CAPA!A9,Planilha2!$D:$D,0))</f>
        <v>BTG Pactual Servicos Financeiros S/A Dtv</v>
      </c>
      <c r="G9" s="17">
        <f>INDEX(Planilha2!$H:$H,MATCH(CAPA!A9,Planilha2!$D:$D,0))</f>
        <v>0.4</v>
      </c>
      <c r="H9" s="9">
        <f>(_xlfn.XLOOKUP(A9,Cotas!$C$1:$C$27,Cotas!$E$1:$E$27)/_xlfn.XLOOKUP(A9,Cotas!$C$1:$C$27,Cotas!$F$1:$F$27))-1</f>
        <v>1.0575743239365165E-2</v>
      </c>
      <c r="I9" s="9">
        <f>(INDEX(Planilha2!$J:$J,MATCH(A9,Planilha2!$D:$D,0)))/Cotas!J12-1</f>
        <v>0.91320960000000007</v>
      </c>
      <c r="J9" s="18">
        <f>INDEX(Planilha2!$L:$L,MATCH(CAPA!A9,Planilha2!$D:$D,0))</f>
        <v>0.33481661061000001</v>
      </c>
      <c r="K9" s="6">
        <f>INDEX(Planilha2!$M:$M,MATCH(CAPA!A9,Planilha2!$D:$D,0))</f>
        <v>3801596.9424000001</v>
      </c>
      <c r="L9" s="5">
        <f>INDEX(Planilha2!$K:$K,MATCH(CAPA!A9,Planilha2!$D:$D,0))</f>
        <v>43907</v>
      </c>
    </row>
    <row r="10" spans="1:12" x14ac:dyDescent="0.25">
      <c r="A10" s="11">
        <v>489956</v>
      </c>
      <c r="B10" s="2" t="s">
        <v>82</v>
      </c>
      <c r="C10" s="2" t="s">
        <v>72</v>
      </c>
      <c r="D10" s="2" t="str">
        <f>INDEX(Planilha2!$E:$E,MATCH(CAPA!A10,Planilha2!$D:$D,0))</f>
        <v>Renda Fixa Duração Baixa Grau de Investimento</v>
      </c>
      <c r="E10" s="2" t="str">
        <f>INDEX(Planilha2!$F:$F,MATCH(CAPA!A10,Planilha2!$D:$D,0))</f>
        <v>Franklin Templeton Brasil Ltda</v>
      </c>
      <c r="F10" s="2" t="str">
        <f>INDEX(Planilha2!$G:$G,MATCH(CAPA!A10,Planilha2!$D:$D,0))</f>
        <v>Banco BNP Paribas Brasil S/A</v>
      </c>
      <c r="G10" s="17">
        <f>INDEX(Planilha2!$H:$H,MATCH(CAPA!A10,Planilha2!$D:$D,0))</f>
        <v>0</v>
      </c>
      <c r="H10" s="9">
        <f>(_xlfn.XLOOKUP(A10,Cotas!$C$1:$C$27,Cotas!$E$1:$E$27)/_xlfn.XLOOKUP(A10,Cotas!$C$1:$C$27,Cotas!$F$1:$F$27))-1</f>
        <v>1.0682848756571772E-2</v>
      </c>
      <c r="I10" s="9">
        <f>(INDEX(Planilha2!$J:$J,MATCH(A10,Planilha2!$D:$D,0)))/Cotas!K14-1</f>
        <v>0.92662117799999999</v>
      </c>
      <c r="J10" s="18">
        <f>INDEX(Planilha2!$L:$L,MATCH(CAPA!A10,Planilha2!$D:$D,0))</f>
        <v>0.78192199373000004</v>
      </c>
      <c r="K10" s="6">
        <f>INDEX(Planilha2!$M:$M,MATCH(CAPA!A10,Planilha2!$D:$D,0))</f>
        <v>3569168.5296999998</v>
      </c>
      <c r="L10" s="5">
        <f>INDEX(Planilha2!$K:$K,MATCH(CAPA!A10,Planilha2!$D:$D,0))</f>
        <v>43538</v>
      </c>
    </row>
    <row r="11" spans="1:12" x14ac:dyDescent="0.25">
      <c r="A11" s="11">
        <v>259624</v>
      </c>
      <c r="B11" s="2" t="s">
        <v>83</v>
      </c>
      <c r="C11" s="2" t="s">
        <v>73</v>
      </c>
      <c r="D11" s="2" t="str">
        <f>INDEX(Planilha2!$E:$E,MATCH(CAPA!A11,Planilha2!$D:$D,0))</f>
        <v>Renda Fixa Duração Baixa Grau de Investimento</v>
      </c>
      <c r="E11" s="2" t="str">
        <f>INDEX(Planilha2!$F:$F,MATCH(CAPA!A11,Planilha2!$D:$D,0))</f>
        <v>Daycoval Asset Manag</v>
      </c>
      <c r="F11" s="2" t="str">
        <f>INDEX(Planilha2!$G:$G,MATCH(CAPA!A11,Planilha2!$D:$D,0))</f>
        <v>Banco Daycoval S.A.</v>
      </c>
      <c r="G11" s="17">
        <f>INDEX(Planilha2!$H:$H,MATCH(CAPA!A11,Planilha2!$D:$D,0))</f>
        <v>0</v>
      </c>
      <c r="H11" s="9">
        <f>(_xlfn.XLOOKUP(A11,Cotas!$C$1:$C$27,Cotas!$E$1:$E$27)/_xlfn.XLOOKUP(A11,Cotas!$C$1:$C$27,Cotas!$F$1:$F$27))-1</f>
        <v>1.0100012247091561E-2</v>
      </c>
      <c r="I11" s="9">
        <f>(INDEX(Planilha2!$J:$J,MATCH(A11,Planilha2!$D:$D,0)))/Cotas!L16-1</f>
        <v>3.7860695470921106</v>
      </c>
      <c r="J11" s="18">
        <f>INDEX(Planilha2!$L:$L,MATCH(CAPA!A11,Planilha2!$D:$D,0))</f>
        <v>0.38517712632000001</v>
      </c>
      <c r="K11" s="6">
        <f>INDEX(Planilha2!$M:$M,MATCH(CAPA!A11,Planilha2!$D:$D,0))</f>
        <v>2164491.4808</v>
      </c>
      <c r="L11" s="5">
        <f>INDEX(Planilha2!$K:$K,MATCH(CAPA!A11,Planilha2!$D:$D,0))</f>
        <v>40389</v>
      </c>
    </row>
    <row r="12" spans="1:12" x14ac:dyDescent="0.25">
      <c r="A12" s="11">
        <v>456497</v>
      </c>
      <c r="B12" s="2" t="s">
        <v>84</v>
      </c>
      <c r="C12" s="2" t="s">
        <v>74</v>
      </c>
      <c r="D12" s="2" t="str">
        <f>INDEX(Planilha2!$E:$E,MATCH(CAPA!A12,Planilha2!$D:$D,0))</f>
        <v>Renda Fixa Duração Livre Grau de Investimento</v>
      </c>
      <c r="E12" s="2" t="str">
        <f>INDEX(Planilha2!$F:$F,MATCH(CAPA!A12,Planilha2!$D:$D,0))</f>
        <v>Iridium Gestão de Recursos Ltda.</v>
      </c>
      <c r="F12" s="2" t="str">
        <f>INDEX(Planilha2!$G:$G,MATCH(CAPA!A12,Planilha2!$D:$D,0))</f>
        <v>BNY Mellon Serviços Financeiros Dtvm S/A</v>
      </c>
      <c r="G12" s="17">
        <f>INDEX(Planilha2!$H:$H,MATCH(CAPA!A12,Planilha2!$D:$D,0))</f>
        <v>0</v>
      </c>
      <c r="H12" s="9">
        <f>(_xlfn.XLOOKUP(A12,Cotas!$C$1:$C$27,Cotas!$E$1:$E$27)/_xlfn.XLOOKUP(A12,Cotas!$C$1:$C$27,Cotas!$F$1:$F$27))-1</f>
        <v>1.1990377054811985E-2</v>
      </c>
      <c r="I12" s="9">
        <f>(INDEX(Planilha2!$J:$J,MATCH(A12,Planilha2!$D:$D,0)))/Cotas!M18-1</f>
        <v>1.08702766</v>
      </c>
      <c r="J12" s="18">
        <f>INDEX(Planilha2!$L:$L,MATCH(CAPA!A12,Planilha2!$D:$D,0))</f>
        <v>0.88568005787000004</v>
      </c>
      <c r="K12" s="6">
        <f>INDEX(Planilha2!$M:$M,MATCH(CAPA!A12,Planilha2!$D:$D,0))</f>
        <v>1387026.9696</v>
      </c>
      <c r="L12" s="5">
        <f>INDEX(Planilha2!$K:$K,MATCH(CAPA!A12,Planilha2!$D:$D,0))</f>
        <v>43047</v>
      </c>
    </row>
    <row r="13" spans="1:12" x14ac:dyDescent="0.25">
      <c r="A13" s="11">
        <v>361445</v>
      </c>
      <c r="B13" s="2" t="s">
        <v>85</v>
      </c>
      <c r="C13" s="2" t="s">
        <v>75</v>
      </c>
      <c r="D13" s="2" t="str">
        <f>INDEX(Planilha2!$E:$E,MATCH(CAPA!A13,Planilha2!$D:$D,0))</f>
        <v>Renda Fixa Duração Baixa Grau de Investimento</v>
      </c>
      <c r="E13" s="2" t="str">
        <f>INDEX(Planilha2!$F:$F,MATCH(CAPA!A13,Planilha2!$D:$D,0))</f>
        <v>Porto Seguro Investimentos Ltda.</v>
      </c>
      <c r="F13" s="2" t="str">
        <f>INDEX(Planilha2!$G:$G,MATCH(CAPA!A13,Planilha2!$D:$D,0))</f>
        <v>Intrag Dist. de Títu</v>
      </c>
      <c r="G13" s="17">
        <f>INDEX(Planilha2!$H:$H,MATCH(CAPA!A13,Planilha2!$D:$D,0))</f>
        <v>0</v>
      </c>
      <c r="H13" s="9">
        <f>(_xlfn.XLOOKUP(A13,Cotas!$C$1:$C$27,Cotas!$E$1:$E$27)/_xlfn.XLOOKUP(A13,Cotas!$C$1:$C$27,Cotas!$F$1:$F$27))-1</f>
        <v>1.0954673243813273E-2</v>
      </c>
      <c r="I13" s="9">
        <f>(INDEX(Planilha2!$J:$J,MATCH(A13,Planilha2!$D:$D,0)))/Cotas!N24-1</f>
        <v>2.3245078000000001</v>
      </c>
      <c r="J13" s="18">
        <f>INDEX(Planilha2!$L:$L,MATCH(CAPA!A13,Planilha2!$D:$D,0))</f>
        <v>0.54447901983000002</v>
      </c>
      <c r="K13" s="6">
        <f>INDEX(Planilha2!$M:$M,MATCH(CAPA!A13,Planilha2!$D:$D,0))</f>
        <v>6892815.1853999998</v>
      </c>
      <c r="L13" s="5">
        <f>INDEX(Planilha2!$K:$K,MATCH(CAPA!A13,Planilha2!$D:$D,0))</f>
        <v>41698</v>
      </c>
    </row>
    <row r="14" spans="1:12" x14ac:dyDescent="0.25">
      <c r="A14" s="11">
        <v>635091</v>
      </c>
      <c r="B14" s="2" t="s">
        <v>86</v>
      </c>
      <c r="C14" s="2" t="s">
        <v>76</v>
      </c>
      <c r="D14" s="2" t="str">
        <f>INDEX(Planilha2!$E:$E,MATCH(CAPA!A14,Planilha2!$D:$D,0))</f>
        <v>Renda Fixa Duração Baixa Grau de Investimento</v>
      </c>
      <c r="E14" s="2" t="str">
        <f>INDEX(Planilha2!$F:$F,MATCH(CAPA!A14,Planilha2!$D:$D,0))</f>
        <v>Nu Asset Management Ltda.</v>
      </c>
      <c r="F14" s="2" t="str">
        <f>INDEX(Planilha2!$G:$G,MATCH(CAPA!A14,Planilha2!$D:$D,0))</f>
        <v>Intrag Dist. de Títu</v>
      </c>
      <c r="G14" s="20">
        <f>INDEX(Planilha2!$H:$H,MATCH(CAPA!A14,Planilha2!$D:$D,0))</f>
        <v>0</v>
      </c>
      <c r="H14" s="9">
        <f>(_xlfn.XLOOKUP(A14,Cotas!$C$1:$C$27,Cotas!$E$1:$E$27)/_xlfn.XLOOKUP(A14,Cotas!$C$1:$C$27,Cotas!$F$1:$F$27))-1</f>
        <v>9.9662638685635851E-3</v>
      </c>
      <c r="I14" s="9">
        <f>(INDEX(Planilha2!$J:$J,MATCH(A14,Planilha2!$D:$D,0)))/1-1</f>
        <v>0.69339839999999997</v>
      </c>
      <c r="J14" s="18">
        <f>INDEX(Planilha2!$L:$L,MATCH(CAPA!A14,Planilha2!$D:$D,0))</f>
        <v>0.44668575847000003</v>
      </c>
      <c r="K14" s="6">
        <f>INDEX(Planilha2!$M:$M,MATCH(CAPA!A14,Planilha2!$D:$D,0))</f>
        <v>2834785.7031</v>
      </c>
      <c r="L14" s="5">
        <f>INDEX(Planilha2!$K:$K,MATCH(CAPA!A14,Planilha2!$D:$D,0))</f>
        <v>44574</v>
      </c>
    </row>
    <row r="15" spans="1:12" x14ac:dyDescent="0.25">
      <c r="A15" s="11">
        <v>387444</v>
      </c>
      <c r="B15" s="2" t="s">
        <v>87</v>
      </c>
      <c r="C15" s="2" t="s">
        <v>77</v>
      </c>
      <c r="D15" s="2" t="str">
        <f>INDEX(Planilha2!$E:$E,MATCH(CAPA!A15,Planilha2!$D:$D,0))</f>
        <v>Renda Fixa Duração Baixa Grau de Investimento</v>
      </c>
      <c r="E15" s="2" t="str">
        <f>INDEX(Planilha2!$F:$F,MATCH(CAPA!A15,Planilha2!$D:$D,0))</f>
        <v>Inter Asset</v>
      </c>
      <c r="F15" s="2" t="str">
        <f>INDEX(Planilha2!$G:$G,MATCH(CAPA!A15,Planilha2!$D:$D,0))</f>
        <v>Inter Distribuidora de Títulos e Valores</v>
      </c>
      <c r="G15" s="17">
        <f>INDEX(Planilha2!$H:$H,MATCH(CAPA!A15,Planilha2!$D:$D,0))</f>
        <v>0</v>
      </c>
      <c r="H15" s="9">
        <f>(_xlfn.XLOOKUP(A15,Cotas!$C$1:$C$27,Cotas!$E$1:$E$27)/_xlfn.XLOOKUP(A15,Cotas!$C$1:$C$27,Cotas!$F$1:$F$27))-1</f>
        <v>1.1140631299128456E-2</v>
      </c>
      <c r="I15" s="9">
        <f>(INDEX(Planilha2!$J:$J,MATCH(A15,Planilha2!$D:$D,0)))/1-1</f>
        <v>1.9001288399999998</v>
      </c>
      <c r="J15" s="18">
        <f>INDEX(Planilha2!$L:$L,MATCH(CAPA!A15,Planilha2!$D:$D,0))</f>
        <v>0.82942731300000005</v>
      </c>
      <c r="K15" s="6">
        <f>INDEX(Planilha2!$M:$M,MATCH(CAPA!A15,Planilha2!$D:$D,0))</f>
        <v>1344300.3278000001</v>
      </c>
      <c r="L15" s="5">
        <f>INDEX(Planilha2!$K:$K,MATCH(CAPA!A15,Planilha2!$D:$D,0))</f>
        <v>42034</v>
      </c>
    </row>
    <row r="16" spans="1:12" x14ac:dyDescent="0.25">
      <c r="A16" s="11">
        <v>677930</v>
      </c>
      <c r="B16" s="2" t="s">
        <v>88</v>
      </c>
      <c r="C16" s="2" t="s">
        <v>78</v>
      </c>
      <c r="D16" s="2" t="str">
        <f>INDEX(Planilha2!$E:$E,MATCH(CAPA!A16,Planilha2!$D:$D,0))</f>
        <v>Renda Fixa Duração Baixa Grau de Investimento</v>
      </c>
      <c r="E16" s="2" t="str">
        <f>INDEX(Planilha2!$F:$F,MATCH(CAPA!A16,Planilha2!$D:$D,0))</f>
        <v>Absolute Crédito</v>
      </c>
      <c r="F16" s="2" t="str">
        <f>INDEX(Planilha2!$G:$G,MATCH(CAPA!A16,Planilha2!$D:$D,0))</f>
        <v>BTG Pactual Servicos Financeiros S/A Dtv</v>
      </c>
      <c r="G16" s="17">
        <f>INDEX(Planilha2!$H:$H,MATCH(CAPA!A16,Planilha2!$D:$D,0))</f>
        <v>0</v>
      </c>
      <c r="H16" s="9">
        <f>(_xlfn.XLOOKUP(A16,Cotas!$C$1:$C$27,Cotas!$E$1:$E$27)/_xlfn.XLOOKUP(A16,Cotas!$C$1:$C$27,Cotas!$F$1:$F$27))-1</f>
        <v>9.9284703453059731E-3</v>
      </c>
      <c r="I16" s="9">
        <f>(INDEX(Planilha2!$J:$J,MATCH(A16,Planilha2!$D:$D,0)))/1-1</f>
        <v>0.56863965150000007</v>
      </c>
      <c r="J16" s="18">
        <f>INDEX(Planilha2!$L:$L,MATCH(CAPA!A16,Planilha2!$D:$D,0))</f>
        <v>0.26345108784999999</v>
      </c>
      <c r="K16" s="6">
        <f>INDEX(Planilha2!$M:$M,MATCH(CAPA!A16,Planilha2!$D:$D,0))</f>
        <v>734275.08262</v>
      </c>
      <c r="L16" s="5">
        <f>INDEX(Planilha2!$K:$K,MATCH(CAPA!A16,Planilha2!$D:$D,0))</f>
        <v>44862</v>
      </c>
    </row>
    <row r="20" spans="1:12" x14ac:dyDescent="0.25">
      <c r="B20" s="21" t="s">
        <v>12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25">
      <c r="B21" s="12" t="s">
        <v>2</v>
      </c>
      <c r="C21" s="12" t="s">
        <v>3</v>
      </c>
      <c r="D21" s="12" t="s">
        <v>4</v>
      </c>
      <c r="E21" s="12" t="s">
        <v>5</v>
      </c>
      <c r="F21" s="12" t="s">
        <v>6</v>
      </c>
      <c r="G21" s="14" t="s">
        <v>7</v>
      </c>
      <c r="H21" s="13">
        <v>46113</v>
      </c>
      <c r="I21" s="14" t="s">
        <v>8</v>
      </c>
      <c r="J21" s="14" t="s">
        <v>9</v>
      </c>
      <c r="K21" s="14" t="s">
        <v>10</v>
      </c>
      <c r="L21" s="14" t="s">
        <v>11</v>
      </c>
    </row>
    <row r="22" spans="1:12" x14ac:dyDescent="0.25">
      <c r="A22" s="11">
        <v>462276</v>
      </c>
      <c r="B22" s="2" t="s">
        <v>90</v>
      </c>
      <c r="C22" s="2" t="s">
        <v>91</v>
      </c>
      <c r="D22" s="2" t="str">
        <f>INDEX(Planilha2!$E:$E,MATCH(CAPA!A22,Planilha2!$D:$D,0))</f>
        <v>Renda Fixa Duração Livre Grau de Investimento</v>
      </c>
      <c r="E22" s="2" t="str">
        <f>INDEX(Planilha2!$F:$F,MATCH(CAPA!A22,Planilha2!$D:$D,0))</f>
        <v>Af Invest Administração de Recursos Ltda</v>
      </c>
      <c r="F22" s="2" t="str">
        <f>INDEX(Planilha2!$G:$G,MATCH(CAPA!A22,Planilha2!$D:$D,0))</f>
        <v>BTG Pactual Servicos Financeiros S/A Dtv</v>
      </c>
      <c r="G22" s="17">
        <f>INDEX(Planilha2!$H:$H,MATCH(CAPA!A22,Planilha2!$D:$D,0))</f>
        <v>0</v>
      </c>
      <c r="H22" s="9">
        <f>(_xlfn.XLOOKUP(A22,Cotas!$C$1:$C$27,Cotas!$E$1:$E$27)/_xlfn.XLOOKUP(A22,Cotas!$C$1:$C$27,Cotas!$F$1:$F$27))-1</f>
        <v>9.4101091562068806E-3</v>
      </c>
      <c r="I22" s="9">
        <f>(INDEX(Planilha2!$J:$J,MATCH(A22,Planilha2!$D:$D,0)))/1-1</f>
        <v>1.0633091000000001</v>
      </c>
      <c r="J22" s="18">
        <f>INDEX(Planilha2!$L:$L,MATCH(CAPA!A22,Planilha2!$D:$D,0))</f>
        <v>1.1015439641</v>
      </c>
      <c r="K22" s="6">
        <f>INDEX(Planilha2!$M:$M,MATCH(CAPA!A22,Planilha2!$D:$D,0))</f>
        <v>311423.15878</v>
      </c>
      <c r="L22" s="5">
        <f>INDEX(Planilha2!$K:$K,MATCH(CAPA!A22,Planilha2!$D:$D,0))</f>
        <v>43187</v>
      </c>
    </row>
    <row r="23" spans="1:12" x14ac:dyDescent="0.25">
      <c r="A23" s="11">
        <v>470473</v>
      </c>
      <c r="B23" s="2" t="s">
        <v>92</v>
      </c>
      <c r="C23" s="2" t="s">
        <v>93</v>
      </c>
      <c r="D23" s="2" t="str">
        <f>INDEX(Planilha2!$E:$E,MATCH(CAPA!A23,Planilha2!$D:$D,0))</f>
        <v>Renda Fixa Duração Baixa Grau de Investimento</v>
      </c>
      <c r="E23" s="2" t="str">
        <f>INDEX(Planilha2!$F:$F,MATCH(CAPA!A23,Planilha2!$D:$D,0))</f>
        <v>Daycoval Asset Manag</v>
      </c>
      <c r="F23" s="2" t="str">
        <f>INDEX(Planilha2!$G:$G,MATCH(CAPA!A23,Planilha2!$D:$D,0))</f>
        <v>Banco Daycoval S.A.</v>
      </c>
      <c r="G23" s="17">
        <f>INDEX(Planilha2!$H:$H,MATCH(CAPA!A23,Planilha2!$D:$D,0))</f>
        <v>0</v>
      </c>
      <c r="H23" s="9">
        <f>(_xlfn.XLOOKUP(A23,Cotas!$C$1:$C$27,Cotas!$E$1:$E$27)/_xlfn.XLOOKUP(A23,Cotas!$C$1:$C$27,Cotas!$F$1:$F$27))-1</f>
        <v>1.0964912069233224E-2</v>
      </c>
      <c r="I23" s="9">
        <f>(INDEX(Planilha2!$J:$J,MATCH(A23,Planilha2!$D:$D,0)))/1-1</f>
        <v>1.1051864</v>
      </c>
      <c r="J23" s="18">
        <f>INDEX(Planilha2!$L:$L,MATCH(CAPA!A23,Planilha2!$D:$D,0))</f>
        <v>0.60675786850000002</v>
      </c>
      <c r="K23" s="6">
        <f>INDEX(Planilha2!$M:$M,MATCH(CAPA!A23,Planilha2!$D:$D,0))</f>
        <v>865976.72710999998</v>
      </c>
      <c r="L23" s="5">
        <f>INDEX(Planilha2!$K:$K,MATCH(CAPA!A23,Planilha2!$D:$D,0))</f>
        <v>43283</v>
      </c>
    </row>
    <row r="24" spans="1:12" x14ac:dyDescent="0.25">
      <c r="A24" s="11">
        <v>620955</v>
      </c>
      <c r="B24" s="2" t="s">
        <v>94</v>
      </c>
      <c r="C24" s="2" t="s">
        <v>95</v>
      </c>
      <c r="D24" s="2" t="str">
        <f>INDEX(Planilha2!$E:$E,MATCH(CAPA!A24,Planilha2!$D:$D,0))</f>
        <v>Renda Fixa Duração Livre Grau de Investimento</v>
      </c>
      <c r="E24" s="2" t="str">
        <f>INDEX(Planilha2!$F:$F,MATCH(CAPA!A24,Planilha2!$D:$D,0))</f>
        <v>Riza Líquidos</v>
      </c>
      <c r="F24" s="2" t="str">
        <f>INDEX(Planilha2!$G:$G,MATCH(CAPA!A24,Planilha2!$D:$D,0))</f>
        <v>BTG Pactual Servicos Financeiros S/A Dtv</v>
      </c>
      <c r="G24" s="17">
        <f>INDEX(Planilha2!$H:$H,MATCH(CAPA!A24,Planilha2!$D:$D,0))</f>
        <v>0</v>
      </c>
      <c r="H24" s="9">
        <f>(_xlfn.XLOOKUP(A24,Cotas!$C$1:$C$27,Cotas!$E$1:$E$27)/_xlfn.XLOOKUP(A24,Cotas!$C$1:$C$27,Cotas!$F$1:$F$27))-1</f>
        <v>1.0181018149594712E-2</v>
      </c>
      <c r="I24" s="9">
        <f>(INDEX(Planilha2!$J:$J,MATCH(A24,Planilha2!$D:$D,0)))/1-1</f>
        <v>0.73991990000000007</v>
      </c>
      <c r="J24" s="18">
        <f>INDEX(Planilha2!$L:$L,MATCH(CAPA!A24,Planilha2!$D:$D,0))</f>
        <v>0.89491431573000002</v>
      </c>
      <c r="K24" s="6">
        <f>INDEX(Planilha2!$M:$M,MATCH(CAPA!A24,Planilha2!$D:$D,0))</f>
        <v>498517.97026999999</v>
      </c>
      <c r="L24" s="5">
        <f>INDEX(Planilha2!$K:$K,MATCH(CAPA!A24,Planilha2!$D:$D,0))</f>
        <v>44498</v>
      </c>
    </row>
    <row r="25" spans="1:12" x14ac:dyDescent="0.25">
      <c r="A25" s="11">
        <v>601462</v>
      </c>
      <c r="B25" s="2" t="s">
        <v>96</v>
      </c>
      <c r="C25" s="2" t="s">
        <v>97</v>
      </c>
      <c r="D25" s="2" t="str">
        <f>INDEX(Planilha2!$E:$E,MATCH(CAPA!A25,Planilha2!$D:$D,0))</f>
        <v>Renda Fixa Duração Baixa Grau de Investimento</v>
      </c>
      <c r="E25" s="2" t="str">
        <f>INDEX(Planilha2!$F:$F,MATCH(CAPA!A25,Planilha2!$D:$D,0))</f>
        <v>ARX Investimentos Ltda.</v>
      </c>
      <c r="F25" s="2" t="str">
        <f>INDEX(Planilha2!$G:$G,MATCH(CAPA!A25,Planilha2!$D:$D,0))</f>
        <v>BNY Mellon Serviços Financeiros Dtvm S/A</v>
      </c>
      <c r="G25" s="17">
        <f>INDEX(Planilha2!$H:$H,MATCH(CAPA!A25,Planilha2!$D:$D,0))</f>
        <v>0</v>
      </c>
      <c r="H25" s="9">
        <f>(_xlfn.XLOOKUP(A25,Cotas!$C$1:$C$27,Cotas!$E$1:$E$27)/_xlfn.XLOOKUP(A25,Cotas!$C$1:$C$27,Cotas!$F$1:$F$27))-1</f>
        <v>1.1915693114401105E-2</v>
      </c>
      <c r="I25" s="9">
        <f>(INDEX(Planilha2!$J:$J,MATCH(A25,Planilha2!$D:$D,0)))/1-1</f>
        <v>0.79337039999999992</v>
      </c>
      <c r="J25" s="18">
        <f>INDEX(Planilha2!$L:$L,MATCH(CAPA!A25,Planilha2!$D:$D,0))</f>
        <v>0.52976793022000002</v>
      </c>
      <c r="K25" s="6">
        <f>INDEX(Planilha2!$M:$M,MATCH(CAPA!A25,Planilha2!$D:$D,0))</f>
        <v>1251713.9221000001</v>
      </c>
      <c r="L25" s="5">
        <f>INDEX(Planilha2!$K:$K,MATCH(CAPA!A25,Planilha2!$D:$D,0))</f>
        <v>44393</v>
      </c>
    </row>
    <row r="26" spans="1:12" x14ac:dyDescent="0.25">
      <c r="A26" s="11">
        <v>493831</v>
      </c>
      <c r="B26" s="2" t="s">
        <v>98</v>
      </c>
      <c r="C26" s="2" t="s">
        <v>99</v>
      </c>
      <c r="D26" s="2" t="str">
        <f>INDEX(Planilha2!$E:$E,MATCH(CAPA!A26,Planilha2!$D:$D,0))</f>
        <v>Renda Fixa Duração Média Crédito Livre</v>
      </c>
      <c r="E26" s="2" t="str">
        <f>INDEX(Planilha2!$F:$F,MATCH(CAPA!A26,Planilha2!$D:$D,0))</f>
        <v>Sparta Administradora de Recursos Ltda</v>
      </c>
      <c r="F26" s="2" t="str">
        <f>INDEX(Planilha2!$G:$G,MATCH(CAPA!A26,Planilha2!$D:$D,0))</f>
        <v>BNY Mellon Serviços Financeiros Dtvm S/A</v>
      </c>
      <c r="G26" s="17">
        <f>INDEX(Planilha2!$H:$H,MATCH(CAPA!A26,Planilha2!$D:$D,0))</f>
        <v>0</v>
      </c>
      <c r="H26" s="9">
        <f>(_xlfn.XLOOKUP(A26,Cotas!$C$1:$C$27,Cotas!$E$1:$E$27)/_xlfn.XLOOKUP(A26,Cotas!$C$1:$C$27,Cotas!$F$1:$F$27))-1</f>
        <v>1.1867118329047965E-2</v>
      </c>
      <c r="I26" s="9">
        <f>(INDEX(Planilha2!$J:$J,MATCH(A26,Planilha2!$D:$D,0)))/1-1</f>
        <v>1.0342990300000001</v>
      </c>
      <c r="J26" s="18">
        <f>INDEX(Planilha2!$L:$L,MATCH(CAPA!A26,Planilha2!$D:$D,0))</f>
        <v>0.85969764338999999</v>
      </c>
      <c r="K26" s="6">
        <f>INDEX(Planilha2!$M:$M,MATCH(CAPA!A26,Planilha2!$D:$D,0))</f>
        <v>140665.95079999999</v>
      </c>
      <c r="L26" s="5">
        <f>INDEX(Planilha2!$K:$K,MATCH(CAPA!A26,Planilha2!$D:$D,0))</f>
        <v>43585</v>
      </c>
    </row>
    <row r="27" spans="1:12" x14ac:dyDescent="0.25">
      <c r="A27" s="11">
        <v>478008</v>
      </c>
      <c r="B27" s="2" t="s">
        <v>100</v>
      </c>
      <c r="C27" s="2" t="s">
        <v>101</v>
      </c>
      <c r="D27" s="2" t="str">
        <f>INDEX(Planilha2!$E:$E,MATCH(CAPA!A27,Planilha2!$D:$D,0))</f>
        <v>Renda Fixa Duração Livre Crédito Livre</v>
      </c>
      <c r="E27" s="2" t="str">
        <f>INDEX(Planilha2!$F:$F,MATCH(CAPA!A27,Planilha2!$D:$D,0))</f>
        <v>Polo Capital Gestão de Recurso</v>
      </c>
      <c r="F27" s="2" t="str">
        <f>INDEX(Planilha2!$G:$G,MATCH(CAPA!A27,Planilha2!$D:$D,0))</f>
        <v>BNY Mellon Serviços Financeiros Dtvm S/A</v>
      </c>
      <c r="G27" s="17">
        <f>INDEX(Planilha2!$H:$H,MATCH(CAPA!A27,Planilha2!$D:$D,0))</f>
        <v>0</v>
      </c>
      <c r="H27" s="9">
        <f>(_xlfn.XLOOKUP(A27,Cotas!$C$1:$C$27,Cotas!$E$1:$E$27)/_xlfn.XLOOKUP(A27,Cotas!$C$1:$C$27,Cotas!$F$1:$F$27))-1</f>
        <v>8.2275173916563915E-3</v>
      </c>
      <c r="I27" s="9">
        <f>(INDEX(Planilha2!$J:$J,MATCH(A27,Planilha2!$D:$D,0)))/1-1</f>
        <v>1.1123136100000002</v>
      </c>
      <c r="J27" s="18">
        <f>INDEX(Planilha2!$L:$L,MATCH(CAPA!A27,Planilha2!$D:$D,0))</f>
        <v>0.61300429763999997</v>
      </c>
      <c r="K27" s="6">
        <f>INDEX(Planilha2!$M:$M,MATCH(CAPA!A27,Planilha2!$D:$D,0))</f>
        <v>1157810.9491000001</v>
      </c>
      <c r="L27" s="5">
        <f>INDEX(Planilha2!$K:$K,MATCH(CAPA!A27,Planilha2!$D:$D,0))</f>
        <v>43395</v>
      </c>
    </row>
    <row r="28" spans="1:12" x14ac:dyDescent="0.25">
      <c r="A28" s="11">
        <v>494607</v>
      </c>
      <c r="B28" s="2" t="s">
        <v>102</v>
      </c>
      <c r="C28" s="2" t="s">
        <v>103</v>
      </c>
      <c r="D28" s="2" t="str">
        <f>INDEX(Planilha2!$E:$E,MATCH(CAPA!A28,Planilha2!$D:$D,0))</f>
        <v>Renda Fixa Duração Livre Crédito Livre</v>
      </c>
      <c r="E28" s="2" t="str">
        <f>INDEX(Planilha2!$F:$F,MATCH(CAPA!A28,Planilha2!$D:$D,0))</f>
        <v>Iridium Gestão de Recursos Ltda.</v>
      </c>
      <c r="F28" s="2" t="str">
        <f>INDEX(Planilha2!$G:$G,MATCH(CAPA!A28,Planilha2!$D:$D,0))</f>
        <v>BNY Mellon Serviços Financeiros Dtvm S/A</v>
      </c>
      <c r="G28" s="17">
        <f>INDEX(Planilha2!$H:$H,MATCH(CAPA!A28,Planilha2!$D:$D,0))</f>
        <v>0</v>
      </c>
      <c r="H28" s="9">
        <f>(_xlfn.XLOOKUP(A28,Cotas!$C$1:$C$27,Cotas!$E$1:$E$27)/_xlfn.XLOOKUP(A28,Cotas!$C$1:$C$27,Cotas!$F$1:$F$27))-1</f>
        <v>1.2573542142673588E-2</v>
      </c>
      <c r="I28" s="9">
        <f>(INDEX(Planilha2!$J:$J,MATCH(A28,Planilha2!$D:$D,0)))/1-1</f>
        <v>1.0185206</v>
      </c>
      <c r="J28" s="18">
        <f>INDEX(Planilha2!$L:$L,MATCH(CAPA!A28,Planilha2!$D:$D,0))</f>
        <v>0.67011672119999999</v>
      </c>
      <c r="K28" s="6">
        <f>INDEX(Planilha2!$M:$M,MATCH(CAPA!A28,Planilha2!$D:$D,0))</f>
        <v>187499.26952</v>
      </c>
      <c r="L28" s="5">
        <f>INDEX(Planilha2!$K:$K,MATCH(CAPA!A28,Planilha2!$D:$D,0))</f>
        <v>43591</v>
      </c>
    </row>
    <row r="29" spans="1:12" x14ac:dyDescent="0.25">
      <c r="A29" s="11">
        <v>523666</v>
      </c>
      <c r="B29" s="2" t="s">
        <v>104</v>
      </c>
      <c r="C29" s="2" t="s">
        <v>105</v>
      </c>
      <c r="D29" s="2" t="str">
        <f>INDEX(Planilha2!$E:$E,MATCH(CAPA!A29,Planilha2!$D:$D,0))</f>
        <v>Renda Fixa Duração Livre Crédito Livre</v>
      </c>
      <c r="E29" s="2" t="str">
        <f>INDEX(Planilha2!$F:$F,MATCH(CAPA!A29,Planilha2!$D:$D,0))</f>
        <v>Porto Seguro Investimentos Ltda.</v>
      </c>
      <c r="F29" s="2" t="str">
        <f>INDEX(Planilha2!$G:$G,MATCH(CAPA!A29,Planilha2!$D:$D,0))</f>
        <v>Intrag Dist. de Títu</v>
      </c>
      <c r="G29" s="17">
        <f>INDEX(Planilha2!$H:$H,MATCH(CAPA!A29,Planilha2!$D:$D,0))</f>
        <v>0</v>
      </c>
      <c r="H29" s="9">
        <f>(_xlfn.XLOOKUP(A29,Cotas!$C$1:$C$27,Cotas!$E$1:$E$27)/_xlfn.XLOOKUP(A29,Cotas!$C$1:$C$27,Cotas!$F$1:$F$27))-1</f>
        <v>1.1851861194988267E-2</v>
      </c>
      <c r="I29" s="9">
        <f>(INDEX(Planilha2!$J:$J,MATCH(A29,Planilha2!$D:$D,0)))/100-1</f>
        <v>0.94542516200000004</v>
      </c>
      <c r="J29" s="18">
        <f>INDEX(Planilha2!$L:$L,MATCH(CAPA!A29,Planilha2!$D:$D,0))</f>
        <v>0.70542075140000005</v>
      </c>
      <c r="K29" s="6">
        <f>INDEX(Planilha2!$M:$M,MATCH(CAPA!A29,Planilha2!$D:$D,0))</f>
        <v>535325.14901000005</v>
      </c>
      <c r="L29" s="5">
        <f>INDEX(Planilha2!$K:$K,MATCH(CAPA!A29,Planilha2!$D:$D,0))</f>
        <v>43798</v>
      </c>
    </row>
    <row r="30" spans="1:12" x14ac:dyDescent="0.25">
      <c r="A30" s="11">
        <v>494089</v>
      </c>
      <c r="B30" s="2" t="s">
        <v>106</v>
      </c>
      <c r="C30" s="2" t="s">
        <v>107</v>
      </c>
      <c r="D30" s="2" t="str">
        <f>INDEX(Planilha2!$E:$E,MATCH(CAPA!A30,Planilha2!$D:$D,0))</f>
        <v>Renda Fixa Duração Média Grau de Investimento</v>
      </c>
      <c r="E30" s="2" t="str">
        <f>INDEX(Planilha2!$F:$F,MATCH(CAPA!A30,Planilha2!$D:$D,0))</f>
        <v>Sparta Administradora de Recursos Ltda</v>
      </c>
      <c r="F30" s="2" t="str">
        <f>INDEX(Planilha2!$G:$G,MATCH(CAPA!A30,Planilha2!$D:$D,0))</f>
        <v>BNY Mellon Serviços Financeiros Dtvm S/A</v>
      </c>
      <c r="G30" s="17">
        <f>INDEX(Planilha2!$H:$H,MATCH(CAPA!A30,Planilha2!$D:$D,0))</f>
        <v>0</v>
      </c>
      <c r="H30" s="9">
        <f>(_xlfn.XLOOKUP(A30,Cotas!$C$1:$C$27,Cotas!$E$1:$E$27)/_xlfn.XLOOKUP(A30,Cotas!$C$1:$C$27,Cotas!$F$1:$F$27))-1</f>
        <v>1.0831797139889465E-2</v>
      </c>
      <c r="I30" s="9">
        <f>(INDEX(Planilha2!$J:$J,MATCH(A30,Planilha2!$D:$D,0)))/1-1</f>
        <v>0.94383777999999996</v>
      </c>
      <c r="J30" s="18">
        <f>INDEX(Planilha2!$L:$L,MATCH(CAPA!A30,Planilha2!$D:$D,0))</f>
        <v>0.83844844567999999</v>
      </c>
      <c r="K30" s="6">
        <f>INDEX(Planilha2!$M:$M,MATCH(CAPA!A30,Planilha2!$D:$D,0))</f>
        <v>574548.92793999997</v>
      </c>
      <c r="L30" s="5">
        <f>INDEX(Planilha2!$K:$K,MATCH(CAPA!A30,Planilha2!$D:$D,0))</f>
        <v>43579</v>
      </c>
    </row>
    <row r="31" spans="1:12" x14ac:dyDescent="0.25">
      <c r="A31" s="11">
        <v>678007</v>
      </c>
      <c r="B31" s="2" t="s">
        <v>108</v>
      </c>
      <c r="C31" s="2" t="s">
        <v>109</v>
      </c>
      <c r="D31" s="2" t="str">
        <f>INDEX(Planilha2!$E:$E,MATCH(CAPA!A31,Planilha2!$D:$D,0))</f>
        <v>Renda Fixa Duração Baixa Grau de Investimento</v>
      </c>
      <c r="E31" s="2" t="str">
        <f>INDEX(Planilha2!$F:$F,MATCH(CAPA!A31,Planilha2!$D:$D,0))</f>
        <v>Absolute Crédito</v>
      </c>
      <c r="F31" s="2" t="str">
        <f>INDEX(Planilha2!$G:$G,MATCH(CAPA!A31,Planilha2!$D:$D,0))</f>
        <v>BTG Pactual Servicos Financeiros S/A Dtv</v>
      </c>
      <c r="G31" s="17">
        <f>INDEX(Planilha2!$H:$H,MATCH(CAPA!A31,Planilha2!$D:$D,0))</f>
        <v>0</v>
      </c>
      <c r="H31" s="9">
        <f>(_xlfn.XLOOKUP(A31,Cotas!$C$1:$C$27,Cotas!$E$1:$E$27)/_xlfn.XLOOKUP(A31,Cotas!$C$1:$C$27,Cotas!$F$1:$F$27))-1</f>
        <v>8.3405799272138204E-3</v>
      </c>
      <c r="I31" s="9">
        <f>(INDEX(Planilha2!$J:$J,MATCH(A31,Planilha2!$D:$D,0)))/1-1</f>
        <v>0.58598776000000008</v>
      </c>
      <c r="J31" s="18">
        <f>INDEX(Planilha2!$L:$L,MATCH(CAPA!A31,Planilha2!$D:$D,0))</f>
        <v>0.48323049786</v>
      </c>
      <c r="K31" s="6">
        <f>INDEX(Planilha2!$M:$M,MATCH(CAPA!A31,Planilha2!$D:$D,0))</f>
        <v>1721026.4711</v>
      </c>
      <c r="L31" s="5">
        <f>INDEX(Planilha2!$K:$K,MATCH(CAPA!A31,Planilha2!$D:$D,0))</f>
        <v>44862</v>
      </c>
    </row>
    <row r="32" spans="1:12" x14ac:dyDescent="0.25">
      <c r="H32" s="15"/>
      <c r="I32" s="15"/>
      <c r="J32" s="10"/>
      <c r="K32" s="16"/>
      <c r="L32" s="4"/>
    </row>
    <row r="33" spans="1:12" x14ac:dyDescent="0.25">
      <c r="H33" s="15"/>
      <c r="I33" s="15"/>
      <c r="J33" s="10"/>
      <c r="K33" s="16"/>
      <c r="L33" s="4"/>
    </row>
    <row r="34" spans="1:12" x14ac:dyDescent="0.25">
      <c r="J34" s="10"/>
    </row>
    <row r="35" spans="1:12" x14ac:dyDescent="0.25">
      <c r="B35" s="24" t="s">
        <v>13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25">
      <c r="B36" s="12" t="s">
        <v>2</v>
      </c>
      <c r="C36" s="12" t="s">
        <v>3</v>
      </c>
      <c r="D36" s="12" t="s">
        <v>4</v>
      </c>
      <c r="E36" s="12" t="s">
        <v>5</v>
      </c>
      <c r="F36" s="12" t="s">
        <v>6</v>
      </c>
      <c r="G36" s="14" t="s">
        <v>7</v>
      </c>
      <c r="H36" s="13">
        <v>46113</v>
      </c>
      <c r="I36" s="14" t="s">
        <v>8</v>
      </c>
      <c r="J36" s="14" t="s">
        <v>9</v>
      </c>
      <c r="K36" s="14" t="s">
        <v>10</v>
      </c>
      <c r="L36" s="14" t="s">
        <v>11</v>
      </c>
    </row>
    <row r="37" spans="1:12" x14ac:dyDescent="0.25">
      <c r="A37" s="11">
        <v>624977</v>
      </c>
      <c r="B37" s="2" t="s">
        <v>110</v>
      </c>
      <c r="C37" s="2" t="s">
        <v>111</v>
      </c>
      <c r="D37" s="2" t="str">
        <f>INDEX(Planilha2!$E:$E,MATCH(CAPA!A37,Planilha2!$D:$D,0))</f>
        <v>Multimercados Livre</v>
      </c>
      <c r="E37" s="2" t="str">
        <f>INDEX(Planilha2!$F:$F,MATCH(CAPA!A37,Planilha2!$D:$D,0))</f>
        <v>Af Invest Administração de Recursos Ltda</v>
      </c>
      <c r="F37" s="2" t="str">
        <f>INDEX(Planilha2!$G:$G,MATCH(CAPA!A37,Planilha2!$D:$D,0))</f>
        <v>BTG Pactual Servicos Financeiros S/A Dtv</v>
      </c>
      <c r="G37" s="17">
        <f>INDEX(Planilha2!$H:$H,MATCH(CAPA!A37,Planilha2!$D:$D,0))</f>
        <v>0</v>
      </c>
      <c r="H37" s="9">
        <f>(_xlfn.XLOOKUP(A37,Cotas!$C$1:$C$27,Cotas!$E$1:$E$27)/_xlfn.XLOOKUP(A37,Cotas!$C$1:$C$27,Cotas!$F$1:$F$27))-1</f>
        <v>1.0769370292579961E-2</v>
      </c>
      <c r="I37" s="9">
        <f>(INDEX(Planilha2!$J:$J,MATCH(A37,Planilha2!$D:$D,0)))/1-1</f>
        <v>0.72523439999999995</v>
      </c>
      <c r="J37" s="18">
        <f>INDEX(Planilha2!$L:$L,MATCH(CAPA!A37,Planilha2!$D:$D,0))</f>
        <v>0.91291144928000001</v>
      </c>
      <c r="K37" s="6">
        <f>INDEX(Planilha2!$M:$M,MATCH(CAPA!A37,Planilha2!$D:$D,0))</f>
        <v>230557.05064</v>
      </c>
      <c r="L37" s="5">
        <f>INDEX(Planilha2!$K:$K,MATCH(CAPA!A37,Planilha2!$D:$D,0))</f>
        <v>44523</v>
      </c>
    </row>
    <row r="38" spans="1:12" x14ac:dyDescent="0.25">
      <c r="A38" s="11">
        <v>393185</v>
      </c>
      <c r="B38" s="2" t="s">
        <v>112</v>
      </c>
      <c r="C38" s="2" t="s">
        <v>113</v>
      </c>
      <c r="D38" s="2" t="str">
        <f>INDEX(Planilha2!$E:$E,MATCH(CAPA!A38,Planilha2!$D:$D,0))</f>
        <v>Multimercados Estratégia Específica</v>
      </c>
      <c r="E38" s="2" t="str">
        <f>INDEX(Planilha2!$F:$F,MATCH(CAPA!A38,Planilha2!$D:$D,0))</f>
        <v>Jgp Gestão de Crédito Ltda.</v>
      </c>
      <c r="F38" s="2" t="str">
        <f>INDEX(Planilha2!$G:$G,MATCH(CAPA!A38,Planilha2!$D:$D,0))</f>
        <v>BNY Mellon Serviços Financeiros Dtvm S/A</v>
      </c>
      <c r="G38" s="17">
        <f>INDEX(Planilha2!$H:$H,MATCH(CAPA!A38,Planilha2!$D:$D,0))</f>
        <v>0</v>
      </c>
      <c r="H38" s="9">
        <f>(_xlfn.XLOOKUP(A38,Cotas!$C$1:$C$27,Cotas!$E$1:$E$27)/_xlfn.XLOOKUP(A38,Cotas!$C$1:$C$27,Cotas!$F$1:$F$27))-1</f>
        <v>1.0999158706817225E-2</v>
      </c>
      <c r="I38" s="9">
        <f>(INDEX(Planilha2!$J:$J,MATCH(A38,Planilha2!$D:$D,0)))/100-1</f>
        <v>2.2129300705000001</v>
      </c>
      <c r="J38" s="18">
        <f>INDEX(Planilha2!$L:$L,MATCH(CAPA!A38,Planilha2!$D:$D,0))</f>
        <v>1.5295322672</v>
      </c>
      <c r="K38" s="6">
        <f>INDEX(Planilha2!$M:$M,MATCH(CAPA!A38,Planilha2!$D:$D,0))</f>
        <v>347114.09191999998</v>
      </c>
      <c r="L38" s="5">
        <f>INDEX(Planilha2!$K:$K,MATCH(CAPA!A38,Planilha2!$D:$D,0))</f>
        <v>42118</v>
      </c>
    </row>
    <row r="39" spans="1:12" x14ac:dyDescent="0.25">
      <c r="A39" s="11">
        <v>526886</v>
      </c>
      <c r="B39" s="2" t="s">
        <v>114</v>
      </c>
      <c r="C39" s="2" t="s">
        <v>115</v>
      </c>
      <c r="D39" s="2" t="str">
        <f>INDEX(Planilha2!$E:$E,MATCH(CAPA!A39,Planilha2!$D:$D,0))</f>
        <v>Renda Fixa Duração Baixa Grau de Investimento</v>
      </c>
      <c r="E39" s="2" t="str">
        <f>INDEX(Planilha2!$F:$F,MATCH(CAPA!A39,Planilha2!$D:$D,0))</f>
        <v>ARX Investimentos Ltda.</v>
      </c>
      <c r="F39" s="2" t="str">
        <f>INDEX(Planilha2!$G:$G,MATCH(CAPA!A39,Planilha2!$D:$D,0))</f>
        <v>BNY Mellon Serviços Financeiros Dtvm S/A</v>
      </c>
      <c r="G39" s="17">
        <f>INDEX(Planilha2!$H:$H,MATCH(CAPA!A39,Planilha2!$D:$D,0))</f>
        <v>0</v>
      </c>
      <c r="H39" s="9">
        <f>(_xlfn.XLOOKUP(A39,Cotas!$C$1:$C$27,Cotas!$E$1:$E$27)/_xlfn.XLOOKUP(A39,Cotas!$C$1:$C$27,Cotas!$F$1:$F$27))-1</f>
        <v>1.2434785914081647E-2</v>
      </c>
      <c r="I39" s="9">
        <f>(INDEX(Planilha2!$J:$J,MATCH(A39,Planilha2!$D:$D,0)))/1-1</f>
        <v>0.9418172199999999</v>
      </c>
      <c r="J39" s="18">
        <f>INDEX(Planilha2!$L:$L,MATCH(CAPA!A39,Planilha2!$D:$D,0))</f>
        <v>1.0987365091000001</v>
      </c>
      <c r="K39" s="6">
        <f>INDEX(Planilha2!$M:$M,MATCH(CAPA!A39,Planilha2!$D:$D,0))</f>
        <v>424848.57507999998</v>
      </c>
      <c r="L39" s="5">
        <f>INDEX(Planilha2!$K:$K,MATCH(CAPA!A39,Planilha2!$D:$D,0))</f>
        <v>43866</v>
      </c>
    </row>
    <row r="40" spans="1:12" x14ac:dyDescent="0.25">
      <c r="A40" s="11">
        <v>414972</v>
      </c>
      <c r="B40" s="2" t="s">
        <v>116</v>
      </c>
      <c r="C40" s="2" t="s">
        <v>117</v>
      </c>
      <c r="D40" s="2" t="str">
        <f>INDEX(Planilha2!$E:$E,MATCH(CAPA!A40,Planilha2!$D:$D,0))</f>
        <v>Multimercados Livre</v>
      </c>
      <c r="E40" s="2" t="str">
        <f>INDEX(Planilha2!$F:$F,MATCH(CAPA!A40,Planilha2!$D:$D,0))</f>
        <v>Polo Capital Gestão de Recurso</v>
      </c>
      <c r="F40" s="2" t="str">
        <f>INDEX(Planilha2!$G:$G,MATCH(CAPA!A40,Planilha2!$D:$D,0))</f>
        <v>BNY Mellon Serviços Financeiros Dtvm S/A</v>
      </c>
      <c r="G40" s="17">
        <f>INDEX(Planilha2!$H:$H,MATCH(CAPA!A40,Planilha2!$D:$D,0))</f>
        <v>0</v>
      </c>
      <c r="H40" s="9">
        <f>(_xlfn.XLOOKUP(A40,Cotas!$C$1:$C$27,Cotas!$E$1:$E$27)/_xlfn.XLOOKUP(A40,Cotas!$C$1:$C$27,Cotas!$F$1:$F$27))-1</f>
        <v>1.0883757546569228E-2</v>
      </c>
      <c r="I40" s="9">
        <f>(INDEX(Planilha2!$J:$J,MATCH(A40,Planilha2!$D:$D,0)))/1-1</f>
        <v>2.2810511999999998</v>
      </c>
      <c r="J40" s="18">
        <f>INDEX(Planilha2!$L:$L,MATCH(CAPA!A40,Planilha2!$D:$D,0))</f>
        <v>3.2466781059000001</v>
      </c>
      <c r="K40" s="6">
        <f>INDEX(Planilha2!$M:$M,MATCH(CAPA!A40,Planilha2!$D:$D,0))</f>
        <v>73457.618279999995</v>
      </c>
      <c r="L40" s="5">
        <f>INDEX(Planilha2!$K:$K,MATCH(CAPA!A40,Planilha2!$D:$D,0))</f>
        <v>42432</v>
      </c>
    </row>
    <row r="41" spans="1:12" x14ac:dyDescent="0.25">
      <c r="A41" s="11">
        <v>687138</v>
      </c>
      <c r="B41" s="2" t="s">
        <v>118</v>
      </c>
      <c r="C41" s="2" t="s">
        <v>119</v>
      </c>
      <c r="D41" s="2" t="str">
        <f>INDEX(Planilha2!$E:$E,MATCH(CAPA!A41,Planilha2!$D:$D,0))</f>
        <v>Multimercados Livre</v>
      </c>
      <c r="E41" s="2" t="str">
        <f>INDEX(Planilha2!$F:$F,MATCH(CAPA!A41,Planilha2!$D:$D,0))</f>
        <v>Absolute Crédito</v>
      </c>
      <c r="F41" s="2" t="str">
        <f>INDEX(Planilha2!$G:$G,MATCH(CAPA!A41,Planilha2!$D:$D,0))</f>
        <v>BTG Pactual Servicos Financeiros S/A Dtv</v>
      </c>
      <c r="G41" s="17">
        <f>INDEX(Planilha2!$H:$H,MATCH(CAPA!A41,Planilha2!$D:$D,0))</f>
        <v>0</v>
      </c>
      <c r="H41" s="9">
        <f>(_xlfn.XLOOKUP(A41,Cotas!$C$1:$C$27,Cotas!$E$1:$E$27)/_xlfn.XLOOKUP(A41,Cotas!$C$1:$C$27,Cotas!$F$1:$F$27))-1</f>
        <v>6.6569517397849776E-3</v>
      </c>
      <c r="I41" s="9">
        <f>(INDEX(Planilha2!$J:$J,MATCH(A41,Planilha2!$D:$D,0)))/1-1</f>
        <v>0.58320900000000009</v>
      </c>
      <c r="J41" s="18">
        <f>INDEX(Planilha2!$L:$L,MATCH(CAPA!A41,Planilha2!$D:$D,0))</f>
        <v>0.61119382151000001</v>
      </c>
      <c r="K41" s="6">
        <f>INDEX(Planilha2!$M:$M,MATCH(CAPA!A41,Planilha2!$D:$D,0))</f>
        <v>272263.42752999999</v>
      </c>
      <c r="L41" s="5">
        <f>INDEX(Planilha2!$K:$K,MATCH(CAPA!A41,Planilha2!$D:$D,0))</f>
        <v>44925</v>
      </c>
    </row>
  </sheetData>
  <mergeCells count="4">
    <mergeCell ref="B20:L20"/>
    <mergeCell ref="B35:L35"/>
    <mergeCell ref="B4:L4"/>
    <mergeCell ref="B2:L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D81D-917E-4F4C-8697-1564EA70D721}">
  <dimension ref="A1:AF27"/>
  <sheetViews>
    <sheetView workbookViewId="0">
      <selection activeCell="E2" sqref="E2"/>
    </sheetView>
  </sheetViews>
  <sheetFormatPr defaultRowHeight="15" x14ac:dyDescent="0.25"/>
  <cols>
    <col min="2" max="2" width="15" customWidth="1"/>
  </cols>
  <sheetData>
    <row r="1" spans="1:32" x14ac:dyDescent="0.25">
      <c r="B1" t="str" cm="1">
        <f t="array" ref="B1">_xll.ECONOMATICA(_xll.EcoRange(1,-1,26,-1),"Name",,,,,,,"false","true")</f>
        <v>Nome</v>
      </c>
      <c r="C1" t="str" cm="1">
        <f t="array" ref="C1">_xll.ECONOMATICA(_xll.EcoRange(1,-2,26,-2),"Codigo de Fundo CVM 555/2014",,,,,,,"false","true")</f>
        <v>Codigo de Fundo CVM 555/2014</v>
      </c>
      <c r="D1" t="str" cm="1">
        <f t="array" ref="D1">_xll.ECONOMATICA(_xll.EcoRange(1,-3,26,-3),"Close",,"D-0",,,"ORIGINAL CURRENCY",,"false","true","Cota   em reais",{"tc.pers=3"})</f>
        <v>Cota   em reais</v>
      </c>
      <c r="E1" t="str" cm="1">
        <f t="array" ref="E1">_xll.ECONOMATICA(_xll.EcoRange(1,-4,26,-4),"Close",,"2026-04-30",,,"ORIGINAL CURRENCY",,"false","true")</f>
        <v>Fechamento 30Abr26 ajust p/ prov Em moeda orig</v>
      </c>
      <c r="F1" t="str" cm="1">
        <f t="array" ref="F1">_xll.ECONOMATICA(_xll.EcoRange(1,-5,26,-5),"Close",,"2026-03-31",,,"ORIGINAL CURRENCY",,"false","true")</f>
        <v>Fechamento 31Mar26 ajust p/ prov Em moeda orig</v>
      </c>
      <c r="G1" t="str" cm="1">
        <f t="array" ref="G1">_xll.ECONOMATICA(_xll.EcoRange(1,-6,26,-6),"Close",,"2008-09-11",,,"ORIGINAL CURRENCY",,"false","true")</f>
        <v>Fechamento 11Set08 ajust p/ prov Em moeda orig</v>
      </c>
      <c r="H1" t="str" cm="1">
        <f t="array" ref="H1">_xll.ECONOMATICA(_xll.EcoRange(1,-7,26,-7),"Close",,"2021-08-05",,,"ORIGINAL CURRENCY",,"false","true")</f>
        <v>Fechamento 05Ago21 ajust p/ prov Em moeda orig</v>
      </c>
      <c r="I1" t="str" cm="1">
        <f t="array" ref="I1">_xll.ECONOMATICA(_xll.EcoRange(1,-8,26,-8),"Close",,"2011-08-22",,,"ORIGINAL CURRENCY",,"false","true")</f>
        <v>Fechamento 22Ago11 ajust p/ prov Em moeda orig</v>
      </c>
      <c r="J1" t="str" cm="1">
        <f t="array" ref="J1">_xll.ECONOMATICA(_xll.EcoRange(1,-9,26,-9),"Close",,"2020-03-17",,,"ORIGINAL CURRENCY",,"false","true")</f>
        <v>Fechamento 17Mar20 ajust p/ prov Em moeda orig</v>
      </c>
      <c r="K1" t="str" cm="1">
        <f t="array" ref="K1">_xll.ECONOMATICA(_xll.EcoRange(1,-10,26,-10),"Close",,"2019-03-14",,,"ORIGINAL CURRENCY",,"false","true")</f>
        <v>Fechamento 14Mar19 ajust p/ prov Em moeda orig</v>
      </c>
      <c r="L1" t="str" cm="1">
        <f t="array" ref="L1">_xll.ECONOMATICA(_xll.EcoRange(1,-11,26,-11),"Close",,"2010-07-30",,,"ORIGINAL CURRENCY",,"false","true")</f>
        <v>Fechamento 30Jul10 ajust p/ prov Em moeda orig</v>
      </c>
      <c r="M1" t="str" cm="1">
        <f t="array" ref="M1">_xll.ECONOMATICA(_xll.EcoRange(1,-12,26,-12),"Close",,"2017-11-08",,,"ORIGINAL CURRENCY",,"false","true")</f>
        <v>Fechamento 08Nov17 ajust p/ prov Em moeda orig</v>
      </c>
      <c r="N1" t="str" cm="1">
        <f t="array" ref="N1">_xll.ECONOMATICA(_xll.EcoRange(1,-13,26,-13),"Close",,"2014-02-28",,,"ORIGINAL CURRENCY",,"false","true")</f>
        <v>Fechamento 28Fev14 ajust p/ prov Em moeda orig</v>
      </c>
      <c r="O1" t="str" cm="1">
        <f t="array" ref="O1">_xll.ECONOMATICA(_xll.EcoRange(1,-14,26,-14),"Close",,"2022-01-13",,,"ORIGINAL CURRENCY",,"false","true")</f>
        <v>Fechamento 13Jan22 ajust p/ prov Em moeda orig</v>
      </c>
      <c r="P1" t="str" cm="1">
        <f t="array" ref="P1">_xll.ECONOMATICA(_xll.EcoRange(1,-15,26,-15),"Close",,"2015-01-30",,,"ORIGINAL CURRENCY",,"false","true")</f>
        <v>Fechamento 30Jan15 ajust p/ prov Em moeda orig</v>
      </c>
      <c r="Q1" t="str" cm="1">
        <f t="array" ref="Q1">_xll.ECONOMATICA(_xll.EcoRange(1,-16,26,-16),"Close",,"2022-10-28",,,"ORIGINAL CURRENCY",,"false","true")</f>
        <v>Fechamento 28Out22 ajust p/ prov Em moeda orig</v>
      </c>
      <c r="R1" t="str" cm="1">
        <f t="array" ref="R1">_xll.ECONOMATICA(_xll.EcoRange(1,-17,26,-17),"Close",,"2018-03-28",,,"ORIGINAL CURRENCY",,"false","true")</f>
        <v>Fechamento 28Mar18 ajust p/ prov Em moeda orig</v>
      </c>
      <c r="S1" t="str" cm="1">
        <f t="array" ref="S1">_xll.ECONOMATICA(_xll.EcoRange(1,-18,26,-18),"Close",,"2018-07-02",,,"ORIGINAL CURRENCY",,"false","true")</f>
        <v>Fechamento 02Jul18 ajust p/ prov Em moeda orig</v>
      </c>
      <c r="T1" t="str" cm="1">
        <f t="array" ref="T1">_xll.ECONOMATICA(_xll.EcoRange(1,-19,26,-19),"Close",,"2021-10-29",,,"ORIGINAL CURRENCY",,"false","true")</f>
        <v>Fechamento 29Out21 ajust p/ prov Em moeda orig</v>
      </c>
      <c r="U1" t="str" cm="1">
        <f t="array" ref="U1">_xll.ECONOMATICA(_xll.EcoRange(1,-20,26,-20),"Close",,"2021-07-16",,,"ORIGINAL CURRENCY",,"false","true")</f>
        <v>Fechamento 16Jul21 ajust p/ prov Em moeda orig</v>
      </c>
      <c r="V1" t="str" cm="1">
        <f t="array" ref="V1">_xll.ECONOMATICA(_xll.EcoRange(1,-21,26,-21),"Close",,"2019-04-30",,,"ORIGINAL CURRENCY",,"false","true")</f>
        <v>Fechamento 30Abr19 ajust p/ prov Em moeda orig</v>
      </c>
      <c r="W1" t="str" cm="1">
        <f t="array" ref="W1">_xll.ECONOMATICA(_xll.EcoRange(1,-22,26,-22),"Close",,"2018-10-22",,,"ORIGINAL CURRENCY",,"false","true")</f>
        <v>Fechamento 22Out18 ajust p/ prov Em moeda orig</v>
      </c>
      <c r="X1" t="str" cm="1">
        <f t="array" ref="X1">_xll.ECONOMATICA(_xll.EcoRange(1,-23,26,-23),"Close",,"2019-05-06",,,"ORIGINAL CURRENCY",,"false","true")</f>
        <v>Fechamento 06Mai19 ajust p/ prov Em moeda orig</v>
      </c>
      <c r="Y1" t="str" cm="1">
        <f t="array" ref="Y1">_xll.ECONOMATICA(_xll.EcoRange(1,-24,26,-24),"Close",,"2019-11-29",,,"ORIGINAL CURRENCY",,"false","true")</f>
        <v>Fechamento 29Nov19 ajust p/ prov Em moeda orig</v>
      </c>
      <c r="Z1" t="str" cm="1">
        <f t="array" ref="Z1">_xll.ECONOMATICA(_xll.EcoRange(1,-25,26,-25),"Close",,"2019-04-24",,,"ORIGINAL CURRENCY",,"false","true")</f>
        <v>Fechamento 24Abr19 ajust p/ prov Em moeda orig</v>
      </c>
      <c r="AA1" t="str" cm="1">
        <f t="array" ref="AA1">_xll.ECONOMATICA(_xll.EcoRange(1,-26,26,-26),"Close",,"2022-10-28",,,"ORIGINAL CURRENCY",,"false","true")</f>
        <v>Fechamento 28Out22 ajust p/ prov Em moeda orig</v>
      </c>
      <c r="AB1" t="str" cm="1">
        <f t="array" ref="AB1">_xll.ECONOMATICA(_xll.EcoRange(1,-27,26,-27),"Close",,"2021-11-23",,,"ORIGINAL CURRENCY",,"false","true")</f>
        <v>Fechamento 23Nov21 ajust p/ prov Em moeda orig</v>
      </c>
      <c r="AC1" t="str" cm="1">
        <f t="array" ref="AC1">_xll.ECONOMATICA(_xll.EcoRange(1,-28,26,-28),"Close",,"2015-04-24",,,"ORIGINAL CURRENCY",,"false","true")</f>
        <v>Fechamento 24Abr15 ajust p/ prov Em moeda orig</v>
      </c>
      <c r="AD1" t="str" cm="1">
        <f t="array" ref="AD1">_xll.ECONOMATICA(_xll.EcoRange(1,-29,26,-29),"Close",,"2020-02-05",,,"ORIGINAL CURRENCY",,"false","true")</f>
        <v>Fechamento 05Fev20 ajust p/ prov Em moeda orig</v>
      </c>
      <c r="AE1" t="str" cm="1">
        <f t="array" ref="AE1">_xll.ECONOMATICA(_xll.EcoRange(1,-30,26,-30),"Close",,"2016-03-03",,,"ORIGINAL CURRENCY",,"false","true")</f>
        <v>Fechamento 03Mar16 ajust p/ prov Em moeda orig</v>
      </c>
      <c r="AF1" t="str" cm="1">
        <f t="array" ref="AF1">_xll.ECONOMATICA(_xll.EcoRange(1,-31,26,-31),"Close",,"2022-12-30",,,"ORIGINAL CURRENCY",,"false","true")</f>
        <v>Fechamento 30Dez22 ajust p/ prov Em moeda orig</v>
      </c>
    </row>
    <row r="2" spans="1:32" x14ac:dyDescent="0.25">
      <c r="A2" t="s">
        <v>44</v>
      </c>
      <c r="B2" t="s">
        <v>120</v>
      </c>
      <c r="C2">
        <v>634468</v>
      </c>
      <c r="D2">
        <v>1.7662260999999999</v>
      </c>
      <c r="E2">
        <v>1.75962416</v>
      </c>
      <c r="F2">
        <v>1.7398307799999999</v>
      </c>
      <c r="H2">
        <v>1</v>
      </c>
      <c r="O2">
        <v>1.0378400299999999</v>
      </c>
      <c r="Q2">
        <v>1.1479735099999999</v>
      </c>
      <c r="T2">
        <v>1.0187028600000001</v>
      </c>
      <c r="AA2">
        <v>1.1479735099999999</v>
      </c>
      <c r="AB2">
        <v>1.02421158</v>
      </c>
      <c r="AF2">
        <v>1.1747173</v>
      </c>
    </row>
    <row r="3" spans="1:32" x14ac:dyDescent="0.25">
      <c r="A3" t="s">
        <v>45</v>
      </c>
      <c r="B3" t="s">
        <v>132</v>
      </c>
      <c r="C3">
        <v>526886</v>
      </c>
      <c r="D3">
        <v>1.9418172199999999</v>
      </c>
      <c r="E3">
        <v>1.9328767200000001</v>
      </c>
      <c r="F3">
        <v>1.90913701</v>
      </c>
      <c r="H3">
        <v>1.0852229</v>
      </c>
      <c r="J3">
        <v>1.00418494</v>
      </c>
      <c r="O3">
        <v>1.13450512</v>
      </c>
      <c r="Q3">
        <v>1.27116173</v>
      </c>
      <c r="T3">
        <v>1.1121076400000001</v>
      </c>
      <c r="U3">
        <v>1.08100258</v>
      </c>
      <c r="AA3">
        <v>1.27116173</v>
      </c>
      <c r="AB3">
        <v>1.11873687</v>
      </c>
      <c r="AD3">
        <v>1</v>
      </c>
      <c r="AF3">
        <v>1.30382986</v>
      </c>
    </row>
    <row r="4" spans="1:32" x14ac:dyDescent="0.25">
      <c r="A4" t="s">
        <v>46</v>
      </c>
      <c r="B4" t="s">
        <v>64</v>
      </c>
      <c r="C4">
        <v>601462</v>
      </c>
      <c r="D4">
        <v>1.7933703999999999</v>
      </c>
      <c r="E4">
        <v>1.7857213700000001</v>
      </c>
      <c r="F4">
        <v>1.76469382</v>
      </c>
      <c r="H4">
        <v>1.0041691500000001</v>
      </c>
      <c r="O4">
        <v>1.0455768400000001</v>
      </c>
      <c r="Q4">
        <v>1.16333927</v>
      </c>
      <c r="T4">
        <v>1.02652663</v>
      </c>
      <c r="U4">
        <v>1</v>
      </c>
      <c r="AA4">
        <v>1.16333927</v>
      </c>
      <c r="AB4">
        <v>1.0322547399999999</v>
      </c>
      <c r="AF4">
        <v>1.1915016599999999</v>
      </c>
    </row>
    <row r="5" spans="1:32" x14ac:dyDescent="0.25">
      <c r="A5" t="s">
        <v>19</v>
      </c>
      <c r="B5" t="s">
        <v>27</v>
      </c>
      <c r="C5">
        <v>284491</v>
      </c>
      <c r="D5">
        <v>5.3371224499999999</v>
      </c>
      <c r="E5">
        <v>5.3329018699999997</v>
      </c>
      <c r="F5">
        <v>5.2595357900000002</v>
      </c>
      <c r="G5">
        <v>1.0376291</v>
      </c>
      <c r="H5">
        <v>3.2774150500000001</v>
      </c>
      <c r="I5">
        <v>1.3931199000000001</v>
      </c>
      <c r="J5">
        <v>3.1445394900000001</v>
      </c>
      <c r="K5">
        <v>2.9588625400000002</v>
      </c>
      <c r="L5">
        <v>1.2444763000000001</v>
      </c>
      <c r="M5">
        <v>2.7140412700000001</v>
      </c>
      <c r="N5">
        <v>1.7445265599999999</v>
      </c>
      <c r="O5">
        <v>3.38994705</v>
      </c>
      <c r="P5">
        <v>1.92786802</v>
      </c>
      <c r="Q5">
        <v>3.75064741</v>
      </c>
      <c r="R5">
        <v>2.7831627299999999</v>
      </c>
      <c r="S5">
        <v>2.8307032699999999</v>
      </c>
      <c r="T5">
        <v>3.32610735</v>
      </c>
      <c r="U5">
        <v>3.2723491</v>
      </c>
      <c r="V5">
        <v>2.9901916000000002</v>
      </c>
      <c r="W5">
        <v>2.8903311399999998</v>
      </c>
      <c r="X5">
        <v>2.99598377</v>
      </c>
      <c r="Y5">
        <v>3.1011552500000001</v>
      </c>
      <c r="Z5">
        <v>2.9880899799999998</v>
      </c>
      <c r="AA5">
        <v>3.75064741</v>
      </c>
      <c r="AB5">
        <v>3.34082086</v>
      </c>
      <c r="AC5">
        <v>1.9818129099999999</v>
      </c>
      <c r="AD5">
        <v>3.14404751</v>
      </c>
      <c r="AE5">
        <v>2.22243404</v>
      </c>
      <c r="AF5">
        <v>3.8267769299999999</v>
      </c>
    </row>
    <row r="6" spans="1:32" x14ac:dyDescent="0.25">
      <c r="A6" t="s">
        <v>47</v>
      </c>
      <c r="B6" t="s">
        <v>123</v>
      </c>
      <c r="C6">
        <v>677930</v>
      </c>
      <c r="D6">
        <v>1.5686396515000001</v>
      </c>
      <c r="E6">
        <v>1.5629490553000001</v>
      </c>
      <c r="F6">
        <v>1.5475839143000001</v>
      </c>
      <c r="Q6">
        <v>1</v>
      </c>
      <c r="AA6">
        <v>1</v>
      </c>
      <c r="AF6">
        <v>1.02530527</v>
      </c>
    </row>
    <row r="7" spans="1:32" x14ac:dyDescent="0.25">
      <c r="A7" t="s">
        <v>48</v>
      </c>
      <c r="B7" t="s">
        <v>121</v>
      </c>
      <c r="C7">
        <v>678007</v>
      </c>
      <c r="D7">
        <v>1.5859877600000001</v>
      </c>
      <c r="E7">
        <v>1.5783773000000001</v>
      </c>
      <c r="F7">
        <v>1.56532161</v>
      </c>
      <c r="Q7">
        <v>1</v>
      </c>
      <c r="AA7">
        <v>1</v>
      </c>
      <c r="AF7">
        <v>1.0264306400000001</v>
      </c>
    </row>
    <row r="8" spans="1:32" x14ac:dyDescent="0.25">
      <c r="A8" t="s">
        <v>49</v>
      </c>
      <c r="B8" t="s">
        <v>65</v>
      </c>
      <c r="C8">
        <v>687138</v>
      </c>
      <c r="D8">
        <v>1.5832090000000001</v>
      </c>
      <c r="E8">
        <v>1.5746727</v>
      </c>
      <c r="F8">
        <v>1.5642594999999999</v>
      </c>
      <c r="AF8">
        <v>1</v>
      </c>
    </row>
    <row r="9" spans="1:32" x14ac:dyDescent="0.25">
      <c r="A9" t="s">
        <v>20</v>
      </c>
      <c r="B9" t="s">
        <v>28</v>
      </c>
      <c r="C9">
        <v>624977</v>
      </c>
      <c r="D9">
        <v>1.7252343999999999</v>
      </c>
      <c r="E9">
        <v>1.7186055</v>
      </c>
      <c r="F9">
        <v>1.7002944</v>
      </c>
      <c r="O9">
        <v>1.0147108</v>
      </c>
      <c r="Q9">
        <v>1.1318189000000001</v>
      </c>
      <c r="AA9">
        <v>1.1318189000000001</v>
      </c>
      <c r="AB9">
        <v>1</v>
      </c>
      <c r="AF9">
        <v>1.1627989000000001</v>
      </c>
    </row>
    <row r="10" spans="1:32" x14ac:dyDescent="0.25">
      <c r="A10" t="s">
        <v>21</v>
      </c>
      <c r="B10" t="s">
        <v>133</v>
      </c>
      <c r="C10">
        <v>462276</v>
      </c>
      <c r="D10">
        <v>2.0633091000000001</v>
      </c>
      <c r="E10">
        <v>2.0579605999999999</v>
      </c>
      <c r="F10">
        <v>2.0387754999999999</v>
      </c>
      <c r="H10">
        <v>1.1603029</v>
      </c>
      <c r="J10">
        <v>1.1432</v>
      </c>
      <c r="K10">
        <v>1.0810048999999999</v>
      </c>
      <c r="O10">
        <v>1.2125659</v>
      </c>
      <c r="Q10">
        <v>1.3521019000000001</v>
      </c>
      <c r="R10">
        <v>1</v>
      </c>
      <c r="S10">
        <v>1.0211474</v>
      </c>
      <c r="T10">
        <v>1.1890657</v>
      </c>
      <c r="U10">
        <v>1.1557507</v>
      </c>
      <c r="V10">
        <v>1.0918319000000001</v>
      </c>
      <c r="W10">
        <v>1.0466230000000001</v>
      </c>
      <c r="X10">
        <v>1.0928351000000001</v>
      </c>
      <c r="Y10">
        <v>1.1298741999999999</v>
      </c>
      <c r="Z10">
        <v>1.0906562</v>
      </c>
      <c r="AA10">
        <v>1.3521019000000001</v>
      </c>
      <c r="AB10">
        <v>1.1945714000000001</v>
      </c>
      <c r="AD10">
        <v>1.1399037000000001</v>
      </c>
      <c r="AF10">
        <v>1.3857632</v>
      </c>
    </row>
    <row r="11" spans="1:32" x14ac:dyDescent="0.25">
      <c r="A11" t="s">
        <v>16</v>
      </c>
      <c r="B11" t="s">
        <v>134</v>
      </c>
      <c r="C11">
        <v>216658</v>
      </c>
      <c r="D11">
        <v>5.4968332000000002</v>
      </c>
      <c r="E11">
        <v>5.4794121999999996</v>
      </c>
      <c r="F11">
        <v>5.4244737000000001</v>
      </c>
      <c r="G11">
        <v>1</v>
      </c>
      <c r="H11">
        <v>3.1170977999999998</v>
      </c>
      <c r="I11">
        <v>1.3531213200000001</v>
      </c>
      <c r="J11">
        <v>3.1129840999999998</v>
      </c>
      <c r="K11">
        <v>2.9505963999999998</v>
      </c>
      <c r="L11">
        <v>1.2034764</v>
      </c>
      <c r="M11">
        <v>2.6776805000000001</v>
      </c>
      <c r="N11">
        <v>1.6936277099999999</v>
      </c>
      <c r="O11">
        <v>3.2399192000000001</v>
      </c>
      <c r="P11">
        <v>1.87399337</v>
      </c>
      <c r="Q11">
        <v>3.587904</v>
      </c>
      <c r="R11">
        <v>2.7565564</v>
      </c>
      <c r="S11">
        <v>2.8081113000000002</v>
      </c>
      <c r="T11">
        <v>3.1760709999999999</v>
      </c>
      <c r="U11">
        <v>3.1085498999999999</v>
      </c>
      <c r="V11">
        <v>2.9767967</v>
      </c>
      <c r="W11">
        <v>2.8698934</v>
      </c>
      <c r="X11">
        <v>2.9791148000000001</v>
      </c>
      <c r="Y11">
        <v>3.0766021000000001</v>
      </c>
      <c r="Z11">
        <v>2.9736519000000001</v>
      </c>
      <c r="AA11">
        <v>3.587904</v>
      </c>
      <c r="AB11">
        <v>3.1936203999999999</v>
      </c>
      <c r="AC11">
        <v>1.9262156399999999</v>
      </c>
      <c r="AD11">
        <v>3.1029163999999998</v>
      </c>
      <c r="AE11">
        <v>2.1605677999999999</v>
      </c>
      <c r="AF11">
        <v>3.6723392000000001</v>
      </c>
    </row>
    <row r="12" spans="1:32" x14ac:dyDescent="0.25">
      <c r="A12" t="s">
        <v>22</v>
      </c>
      <c r="B12" t="s">
        <v>29</v>
      </c>
      <c r="C12">
        <v>531553</v>
      </c>
      <c r="D12">
        <v>1.9132096000000001</v>
      </c>
      <c r="E12">
        <v>1.9068677999999999</v>
      </c>
      <c r="F12">
        <v>1.8869123000000001</v>
      </c>
      <c r="H12">
        <v>1.0690978</v>
      </c>
      <c r="J12">
        <v>1</v>
      </c>
      <c r="O12">
        <v>1.1075429000000001</v>
      </c>
      <c r="Q12">
        <v>1.2279518</v>
      </c>
      <c r="T12">
        <v>1.0869527999999999</v>
      </c>
      <c r="U12">
        <v>1.0658752</v>
      </c>
      <c r="AA12">
        <v>1.2279518</v>
      </c>
      <c r="AB12">
        <v>1.0923852999999999</v>
      </c>
      <c r="AF12">
        <v>1.2570698</v>
      </c>
    </row>
    <row r="13" spans="1:32" x14ac:dyDescent="0.25">
      <c r="A13" t="s">
        <v>23</v>
      </c>
      <c r="B13" t="s">
        <v>30</v>
      </c>
      <c r="C13">
        <v>620955</v>
      </c>
      <c r="D13">
        <v>1.7399199000000001</v>
      </c>
      <c r="E13">
        <v>1.7336762999999999</v>
      </c>
      <c r="F13">
        <v>1.7162036000000001</v>
      </c>
      <c r="O13">
        <v>1.0192348</v>
      </c>
      <c r="Q13">
        <v>1.1402935000000001</v>
      </c>
      <c r="T13">
        <v>1</v>
      </c>
      <c r="AA13">
        <v>1.1402935000000001</v>
      </c>
      <c r="AB13">
        <v>1.0047927999999999</v>
      </c>
      <c r="AF13">
        <v>1.167346</v>
      </c>
    </row>
    <row r="14" spans="1:32" x14ac:dyDescent="0.25">
      <c r="A14" t="s">
        <v>50</v>
      </c>
      <c r="B14" t="s">
        <v>124</v>
      </c>
      <c r="C14">
        <v>489956</v>
      </c>
      <c r="D14">
        <v>1926.6211780000001</v>
      </c>
      <c r="E14">
        <v>1919.9761582000001</v>
      </c>
      <c r="F14">
        <v>1899.6821411999999</v>
      </c>
      <c r="H14">
        <v>1098.5340948999999</v>
      </c>
      <c r="J14">
        <v>1050.4204887999999</v>
      </c>
      <c r="K14">
        <v>1000</v>
      </c>
      <c r="O14">
        <v>1138.1354225</v>
      </c>
      <c r="Q14">
        <v>1254.2616642999999</v>
      </c>
      <c r="T14">
        <v>1118.1653864</v>
      </c>
      <c r="U14">
        <v>1094.6378809</v>
      </c>
      <c r="V14">
        <v>1008.3998724</v>
      </c>
      <c r="X14">
        <v>1009.110716</v>
      </c>
      <c r="Y14">
        <v>1040.29088</v>
      </c>
      <c r="Z14">
        <v>1007.3807052</v>
      </c>
      <c r="AA14">
        <v>1254.2616642999999</v>
      </c>
      <c r="AB14">
        <v>1123.5699987999999</v>
      </c>
      <c r="AD14">
        <v>1048.5353187999999</v>
      </c>
      <c r="AF14">
        <v>1283.2573829</v>
      </c>
    </row>
    <row r="15" spans="1:32" x14ac:dyDescent="0.25">
      <c r="A15" t="s">
        <v>51</v>
      </c>
      <c r="B15" t="s">
        <v>125</v>
      </c>
      <c r="C15">
        <v>470473</v>
      </c>
      <c r="D15">
        <v>2.1051864</v>
      </c>
      <c r="E15">
        <v>2.096794</v>
      </c>
      <c r="F15">
        <v>2.0740522000000001</v>
      </c>
      <c r="H15">
        <v>1.1671659999999999</v>
      </c>
      <c r="J15">
        <v>1.1114942999999999</v>
      </c>
      <c r="K15">
        <v>1.0511561</v>
      </c>
      <c r="O15">
        <v>1.2154212</v>
      </c>
      <c r="Q15">
        <v>1.3542799999999999</v>
      </c>
      <c r="S15">
        <v>1</v>
      </c>
      <c r="T15">
        <v>1.1928620999999999</v>
      </c>
      <c r="U15">
        <v>1.1631933000000001</v>
      </c>
      <c r="V15">
        <v>1.0606728999999999</v>
      </c>
      <c r="W15">
        <v>1.0219334</v>
      </c>
      <c r="X15">
        <v>1.0615014</v>
      </c>
      <c r="Y15">
        <v>1.0981563000000001</v>
      </c>
      <c r="Z15">
        <v>1.059439</v>
      </c>
      <c r="AA15">
        <v>1.3542799999999999</v>
      </c>
      <c r="AB15">
        <v>1.199012</v>
      </c>
      <c r="AD15">
        <v>1.1075018000000001</v>
      </c>
      <c r="AF15">
        <v>1.3874848</v>
      </c>
    </row>
    <row r="16" spans="1:32" x14ac:dyDescent="0.25">
      <c r="A16" t="s">
        <v>52</v>
      </c>
      <c r="B16" t="s">
        <v>135</v>
      </c>
      <c r="C16">
        <v>259624</v>
      </c>
      <c r="D16">
        <v>5.3789137599999997</v>
      </c>
      <c r="E16">
        <v>5.35942015</v>
      </c>
      <c r="F16">
        <v>5.3058311900000001</v>
      </c>
      <c r="H16">
        <v>3.0086899300000001</v>
      </c>
      <c r="I16">
        <v>1.27055812</v>
      </c>
      <c r="J16">
        <v>2.9012442799999998</v>
      </c>
      <c r="K16">
        <v>2.7515540500000002</v>
      </c>
      <c r="L16">
        <v>1.1238687000000001</v>
      </c>
      <c r="M16">
        <v>2.5120231799999999</v>
      </c>
      <c r="N16">
        <v>1.5960995</v>
      </c>
      <c r="O16">
        <v>3.13371975</v>
      </c>
      <c r="P16">
        <v>1.7675141400000001</v>
      </c>
      <c r="Q16">
        <v>3.4707498399999999</v>
      </c>
      <c r="R16">
        <v>2.58059766</v>
      </c>
      <c r="S16">
        <v>2.6260887400000001</v>
      </c>
      <c r="T16">
        <v>3.0763409199999998</v>
      </c>
      <c r="U16">
        <v>3.0002827600000002</v>
      </c>
      <c r="V16">
        <v>2.7754854400000002</v>
      </c>
      <c r="W16">
        <v>2.6808646600000001</v>
      </c>
      <c r="X16">
        <v>2.7776527299999998</v>
      </c>
      <c r="Y16">
        <v>2.8677603299999999</v>
      </c>
      <c r="Z16">
        <v>2.77240902</v>
      </c>
      <c r="AA16">
        <v>3.4707498399999999</v>
      </c>
      <c r="AB16">
        <v>3.0929514600000001</v>
      </c>
      <c r="AC16">
        <v>1.8159860000000001</v>
      </c>
      <c r="AD16">
        <v>2.8920332700000002</v>
      </c>
      <c r="AE16">
        <v>2.0424794999999998</v>
      </c>
      <c r="AF16">
        <v>3.55253218</v>
      </c>
    </row>
    <row r="17" spans="1:32" x14ac:dyDescent="0.25">
      <c r="A17" t="s">
        <v>24</v>
      </c>
      <c r="B17" t="s">
        <v>136</v>
      </c>
      <c r="C17">
        <v>387444</v>
      </c>
      <c r="D17">
        <v>2.9001288399999998</v>
      </c>
      <c r="E17">
        <v>2.8903260199999998</v>
      </c>
      <c r="F17">
        <v>2.8584807400000001</v>
      </c>
      <c r="H17">
        <v>1.6404836300000001</v>
      </c>
      <c r="J17">
        <v>1.6397131</v>
      </c>
      <c r="K17">
        <v>1.5599018899999999</v>
      </c>
      <c r="M17">
        <v>1.41945999</v>
      </c>
      <c r="O17">
        <v>1.71755513</v>
      </c>
      <c r="P17">
        <v>1</v>
      </c>
      <c r="Q17">
        <v>1.9025286800000001</v>
      </c>
      <c r="R17">
        <v>1.4603638800000001</v>
      </c>
      <c r="S17">
        <v>1.48580807</v>
      </c>
      <c r="T17">
        <v>1.6854669200000001</v>
      </c>
      <c r="U17">
        <v>1.63639238</v>
      </c>
      <c r="V17">
        <v>1.57394389</v>
      </c>
      <c r="W17">
        <v>1.51680748</v>
      </c>
      <c r="X17">
        <v>1.5751644</v>
      </c>
      <c r="Y17">
        <v>1.6208548300000001</v>
      </c>
      <c r="Z17">
        <v>1.5720385100000001</v>
      </c>
      <c r="AA17">
        <v>1.9025286800000001</v>
      </c>
      <c r="AB17">
        <v>1.69445355</v>
      </c>
      <c r="AC17">
        <v>1.02819017</v>
      </c>
      <c r="AD17">
        <v>1.6342916999999999</v>
      </c>
      <c r="AE17">
        <v>1.1511146800000001</v>
      </c>
      <c r="AF17">
        <v>1.9467133999999999</v>
      </c>
    </row>
    <row r="18" spans="1:32" x14ac:dyDescent="0.25">
      <c r="A18" t="s">
        <v>25</v>
      </c>
      <c r="B18" t="s">
        <v>137</v>
      </c>
      <c r="C18">
        <v>456497</v>
      </c>
      <c r="D18">
        <v>2.08702766</v>
      </c>
      <c r="E18">
        <v>2.0789637700000001</v>
      </c>
      <c r="F18">
        <v>2.0543315600000001</v>
      </c>
      <c r="H18">
        <v>1.1705748</v>
      </c>
      <c r="J18">
        <v>1.1557276999999999</v>
      </c>
      <c r="K18">
        <v>1.09565212</v>
      </c>
      <c r="M18">
        <v>1</v>
      </c>
      <c r="O18">
        <v>1.2188151</v>
      </c>
      <c r="Q18">
        <v>1.35181193</v>
      </c>
      <c r="R18">
        <v>1.0263257299999999</v>
      </c>
      <c r="S18">
        <v>1.0447617300000001</v>
      </c>
      <c r="T18">
        <v>1.19608991</v>
      </c>
      <c r="U18">
        <v>1.1671358000000001</v>
      </c>
      <c r="V18">
        <v>1.1048857400000001</v>
      </c>
      <c r="W18">
        <v>1.0679713500000001</v>
      </c>
      <c r="X18">
        <v>1.10573418</v>
      </c>
      <c r="Y18">
        <v>1.1418903499999999</v>
      </c>
      <c r="Z18">
        <v>1.10374236</v>
      </c>
      <c r="AA18">
        <v>1.35181193</v>
      </c>
      <c r="AB18">
        <v>1.20254989</v>
      </c>
      <c r="AD18">
        <v>1.1521681500000001</v>
      </c>
      <c r="AF18">
        <v>1.3827568800000001</v>
      </c>
    </row>
    <row r="19" spans="1:32" x14ac:dyDescent="0.25">
      <c r="A19" t="s">
        <v>53</v>
      </c>
      <c r="B19" t="s">
        <v>138</v>
      </c>
      <c r="C19">
        <v>494607</v>
      </c>
      <c r="D19">
        <v>2.0185206</v>
      </c>
      <c r="E19">
        <v>2.0097618900000001</v>
      </c>
      <c r="F19">
        <v>1.9848058500000001</v>
      </c>
      <c r="H19">
        <v>1.11056467</v>
      </c>
      <c r="J19">
        <v>1.0599082900000001</v>
      </c>
      <c r="O19">
        <v>1.15809557</v>
      </c>
      <c r="Q19">
        <v>1.29414696</v>
      </c>
      <c r="T19">
        <v>1.13374636</v>
      </c>
      <c r="U19">
        <v>1.1085087199999999</v>
      </c>
      <c r="X19">
        <v>1</v>
      </c>
      <c r="Y19">
        <v>1.04438002</v>
      </c>
      <c r="AA19">
        <v>1.29414696</v>
      </c>
      <c r="AB19">
        <v>1.14057396</v>
      </c>
      <c r="AD19">
        <v>1.0556855000000001</v>
      </c>
      <c r="AF19">
        <v>1.3247277799999999</v>
      </c>
    </row>
    <row r="20" spans="1:32" x14ac:dyDescent="0.25">
      <c r="A20" t="s">
        <v>26</v>
      </c>
      <c r="B20" t="s">
        <v>31</v>
      </c>
      <c r="C20">
        <v>393185</v>
      </c>
      <c r="D20">
        <v>321.29300705000003</v>
      </c>
      <c r="E20">
        <v>320.05517277000001</v>
      </c>
      <c r="F20">
        <v>316.57313462000002</v>
      </c>
      <c r="H20">
        <v>176.15980009</v>
      </c>
      <c r="J20">
        <v>161.2974414</v>
      </c>
      <c r="K20">
        <v>160.75707739000001</v>
      </c>
      <c r="M20">
        <v>145.92254659</v>
      </c>
      <c r="O20">
        <v>181.24741513000001</v>
      </c>
      <c r="Q20">
        <v>200.97869764999999</v>
      </c>
      <c r="R20">
        <v>150.09618817</v>
      </c>
      <c r="S20">
        <v>151.29688874999999</v>
      </c>
      <c r="T20">
        <v>178.31810082999999</v>
      </c>
      <c r="U20">
        <v>175.57956347999999</v>
      </c>
      <c r="V20">
        <v>162.48553006</v>
      </c>
      <c r="W20">
        <v>155.36068943000001</v>
      </c>
      <c r="X20">
        <v>162.70293561</v>
      </c>
      <c r="Y20">
        <v>169.18063871000001</v>
      </c>
      <c r="Z20">
        <v>162.32213978999999</v>
      </c>
      <c r="AA20">
        <v>200.97869764999999</v>
      </c>
      <c r="AB20">
        <v>178.96141426</v>
      </c>
      <c r="AC20">
        <v>100</v>
      </c>
      <c r="AD20">
        <v>171.83370791999999</v>
      </c>
      <c r="AE20">
        <v>111.57077996</v>
      </c>
      <c r="AF20">
        <v>206.15912603999999</v>
      </c>
    </row>
    <row r="21" spans="1:32" x14ac:dyDescent="0.25">
      <c r="A21" t="s">
        <v>54</v>
      </c>
      <c r="B21" t="s">
        <v>122</v>
      </c>
      <c r="C21">
        <v>635091</v>
      </c>
      <c r="D21">
        <v>1.6933984</v>
      </c>
      <c r="E21">
        <v>1.6876812999999999</v>
      </c>
      <c r="F21">
        <v>1.6710274000000001</v>
      </c>
      <c r="O21">
        <v>1</v>
      </c>
      <c r="Q21">
        <v>1.1052</v>
      </c>
      <c r="AA21">
        <v>1.1052</v>
      </c>
      <c r="AF21">
        <v>1.1303087999999999</v>
      </c>
    </row>
    <row r="22" spans="1:32" x14ac:dyDescent="0.25">
      <c r="A22" t="s">
        <v>55</v>
      </c>
      <c r="B22" t="s">
        <v>139</v>
      </c>
      <c r="C22">
        <v>478008</v>
      </c>
      <c r="D22">
        <v>2.1123136100000002</v>
      </c>
      <c r="E22">
        <v>2.1027396700000001</v>
      </c>
      <c r="F22">
        <v>2.0855805200000002</v>
      </c>
      <c r="H22">
        <v>1.14668937</v>
      </c>
      <c r="J22">
        <v>1.0902717799999999</v>
      </c>
      <c r="K22">
        <v>1.02876872</v>
      </c>
      <c r="O22">
        <v>1.19089555</v>
      </c>
      <c r="Q22">
        <v>1.32878634</v>
      </c>
      <c r="T22">
        <v>1.1668216899999999</v>
      </c>
      <c r="U22">
        <v>1.1430366000000001</v>
      </c>
      <c r="V22">
        <v>1.0381125600000001</v>
      </c>
      <c r="W22">
        <v>1</v>
      </c>
      <c r="X22">
        <v>1.03923951</v>
      </c>
      <c r="Y22">
        <v>1.0757624800000001</v>
      </c>
      <c r="Z22">
        <v>1.0369995700000001</v>
      </c>
      <c r="AA22">
        <v>1.32878634</v>
      </c>
      <c r="AB22">
        <v>1.17298751</v>
      </c>
      <c r="AD22">
        <v>1.08563597</v>
      </c>
      <c r="AF22">
        <v>1.36355084</v>
      </c>
    </row>
    <row r="23" spans="1:32" x14ac:dyDescent="0.25">
      <c r="A23" t="s">
        <v>56</v>
      </c>
      <c r="B23" t="s">
        <v>140</v>
      </c>
      <c r="C23">
        <v>414972</v>
      </c>
      <c r="D23">
        <v>3.2810511999999998</v>
      </c>
      <c r="E23">
        <v>3.2609408599999998</v>
      </c>
      <c r="F23">
        <v>3.2258316900000001</v>
      </c>
      <c r="H23">
        <v>1.7824116699999999</v>
      </c>
      <c r="J23">
        <v>1.755066</v>
      </c>
      <c r="K23">
        <v>1.7681083099999999</v>
      </c>
      <c r="M23">
        <v>1.5789675400000001</v>
      </c>
      <c r="O23">
        <v>1.84466408</v>
      </c>
      <c r="Q23">
        <v>2.0312107799999999</v>
      </c>
      <c r="R23">
        <v>1.62778789</v>
      </c>
      <c r="S23">
        <v>1.6215153</v>
      </c>
      <c r="T23">
        <v>1.81125377</v>
      </c>
      <c r="U23">
        <v>1.7745306000000001</v>
      </c>
      <c r="V23">
        <v>1.77031216</v>
      </c>
      <c r="W23">
        <v>1.68193459</v>
      </c>
      <c r="X23">
        <v>1.76878702</v>
      </c>
      <c r="Y23">
        <v>1.80055174</v>
      </c>
      <c r="Z23">
        <v>1.7742307500000001</v>
      </c>
      <c r="AA23">
        <v>2.0312107799999999</v>
      </c>
      <c r="AB23">
        <v>1.81102531</v>
      </c>
      <c r="AD23">
        <v>1.84685878</v>
      </c>
      <c r="AE23">
        <v>1</v>
      </c>
      <c r="AF23">
        <v>2.11557978</v>
      </c>
    </row>
    <row r="24" spans="1:32" x14ac:dyDescent="0.25">
      <c r="A24" t="s">
        <v>57</v>
      </c>
      <c r="B24" t="s">
        <v>66</v>
      </c>
      <c r="C24">
        <v>361445</v>
      </c>
      <c r="D24">
        <v>3.3245078000000001</v>
      </c>
      <c r="E24">
        <v>3.3118774000000002</v>
      </c>
      <c r="F24">
        <v>3.2759900000000002</v>
      </c>
      <c r="H24">
        <v>1.8674478999999999</v>
      </c>
      <c r="J24">
        <v>1.7839590000000001</v>
      </c>
      <c r="K24">
        <v>1.6998689</v>
      </c>
      <c r="M24">
        <v>1.5611625</v>
      </c>
      <c r="N24">
        <v>1</v>
      </c>
      <c r="O24">
        <v>1.9342798999999999</v>
      </c>
      <c r="P24">
        <v>1.1068633999999999</v>
      </c>
      <c r="Q24">
        <v>2.1324500999999998</v>
      </c>
      <c r="R24">
        <v>1.6003639999999999</v>
      </c>
      <c r="S24">
        <v>1.626039</v>
      </c>
      <c r="T24">
        <v>1.9009910999999999</v>
      </c>
      <c r="U24">
        <v>1.8611793999999999</v>
      </c>
      <c r="V24">
        <v>1.7133436</v>
      </c>
      <c r="W24">
        <v>1.6576105000000001</v>
      </c>
      <c r="X24">
        <v>1.7145569000000001</v>
      </c>
      <c r="Y24">
        <v>1.7664313</v>
      </c>
      <c r="Z24">
        <v>1.7116829</v>
      </c>
      <c r="AA24">
        <v>2.1324500999999998</v>
      </c>
      <c r="AB24">
        <v>1.9098298</v>
      </c>
      <c r="AC24">
        <v>1.1369556000000001</v>
      </c>
      <c r="AD24">
        <v>1.7787758</v>
      </c>
      <c r="AE24">
        <v>1.2748607000000001</v>
      </c>
      <c r="AF24">
        <v>2.1822406999999999</v>
      </c>
    </row>
    <row r="25" spans="1:32" x14ac:dyDescent="0.25">
      <c r="A25" t="s">
        <v>58</v>
      </c>
      <c r="B25" t="s">
        <v>141</v>
      </c>
      <c r="C25">
        <v>523666</v>
      </c>
      <c r="D25">
        <v>194.54251619999999</v>
      </c>
      <c r="E25">
        <v>193.73478829999999</v>
      </c>
      <c r="F25">
        <v>191.465565</v>
      </c>
      <c r="H25">
        <v>106.8963933</v>
      </c>
      <c r="J25">
        <v>101.3182666</v>
      </c>
      <c r="O25">
        <v>111.13694580000001</v>
      </c>
      <c r="Q25">
        <v>123.18813110000001</v>
      </c>
      <c r="T25">
        <v>109.12748759999999</v>
      </c>
      <c r="U25">
        <v>106.5393282</v>
      </c>
      <c r="Y25">
        <v>100</v>
      </c>
      <c r="AA25">
        <v>123.18813110000001</v>
      </c>
      <c r="AB25">
        <v>109.6170317</v>
      </c>
      <c r="AD25">
        <v>100.9983484</v>
      </c>
      <c r="AF25">
        <v>126.2059675</v>
      </c>
    </row>
    <row r="26" spans="1:32" x14ac:dyDescent="0.25">
      <c r="A26" t="s">
        <v>59</v>
      </c>
      <c r="B26" t="s">
        <v>142</v>
      </c>
      <c r="C26">
        <v>493831</v>
      </c>
      <c r="D26">
        <v>2.0342990300000001</v>
      </c>
      <c r="E26">
        <v>2.02680923</v>
      </c>
      <c r="F26">
        <v>2.0030389300000002</v>
      </c>
      <c r="H26">
        <v>1.1237127899999999</v>
      </c>
      <c r="J26">
        <v>1.05434326</v>
      </c>
      <c r="O26">
        <v>1.1687044600000001</v>
      </c>
      <c r="Q26">
        <v>1.30128043</v>
      </c>
      <c r="T26">
        <v>1.14516671</v>
      </c>
      <c r="U26">
        <v>1.11864027</v>
      </c>
      <c r="V26">
        <v>1</v>
      </c>
      <c r="X26">
        <v>1.00083477</v>
      </c>
      <c r="Y26">
        <v>1.0377730599999999</v>
      </c>
      <c r="AA26">
        <v>1.30128043</v>
      </c>
      <c r="AB26">
        <v>1.15201803</v>
      </c>
      <c r="AD26">
        <v>1.04931241</v>
      </c>
      <c r="AF26">
        <v>1.33172994</v>
      </c>
    </row>
    <row r="27" spans="1:32" x14ac:dyDescent="0.25">
      <c r="A27" t="s">
        <v>60</v>
      </c>
      <c r="B27" t="s">
        <v>143</v>
      </c>
      <c r="C27">
        <v>494089</v>
      </c>
      <c r="D27">
        <v>1.94383778</v>
      </c>
      <c r="E27">
        <v>1.93705204</v>
      </c>
      <c r="F27">
        <v>1.91629512</v>
      </c>
      <c r="H27">
        <v>1.0902236599999999</v>
      </c>
      <c r="J27">
        <v>1.04107116</v>
      </c>
      <c r="O27">
        <v>1.13257477</v>
      </c>
      <c r="Q27">
        <v>1.25600098</v>
      </c>
      <c r="T27">
        <v>1.11124343</v>
      </c>
      <c r="U27">
        <v>1.0858748600000001</v>
      </c>
      <c r="V27">
        <v>1.00100156</v>
      </c>
      <c r="X27">
        <v>1.0018591999999999</v>
      </c>
      <c r="Y27">
        <v>1.02963849</v>
      </c>
      <c r="Z27">
        <v>1</v>
      </c>
      <c r="AA27">
        <v>1.25600098</v>
      </c>
      <c r="AB27">
        <v>1.11730869</v>
      </c>
      <c r="AD27">
        <v>1.0389817100000001</v>
      </c>
      <c r="AF27">
        <v>1.28444976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BDBE-6E65-4894-B9CD-85B0C1674A50}">
  <dimension ref="A1:M38"/>
  <sheetViews>
    <sheetView topLeftCell="D1" workbookViewId="0">
      <selection activeCell="P3" sqref="P3"/>
    </sheetView>
  </sheetViews>
  <sheetFormatPr defaultRowHeight="15" x14ac:dyDescent="0.25"/>
  <cols>
    <col min="2" max="2" width="13.42578125" customWidth="1"/>
    <col min="3" max="3" width="21.7109375" bestFit="1" customWidth="1"/>
    <col min="4" max="4" width="14.5703125" bestFit="1" customWidth="1"/>
    <col min="5" max="5" width="22.5703125" customWidth="1"/>
    <col min="6" max="6" width="22.85546875" bestFit="1" customWidth="1"/>
    <col min="7" max="7" width="19.28515625" bestFit="1" customWidth="1"/>
    <col min="8" max="8" width="20.5703125" customWidth="1"/>
    <col min="11" max="11" width="20.7109375" bestFit="1" customWidth="1"/>
  </cols>
  <sheetData>
    <row r="1" spans="1:13" x14ac:dyDescent="0.25">
      <c r="B1" t="str" cm="1">
        <f t="array" ref="B1">_xll.ECONOMATICA(_xll.EcoRange(1,-1,26,-1),"Name",,,,,,,"false","true")</f>
        <v>Nome</v>
      </c>
      <c r="C1" s="3" t="str" cm="1">
        <f t="array" ref="C1">_xll.ECONOMATICA(_xll.EcoRange(1,-2,26,-2),"Employer ID number",,,,,,,"false","true")</f>
        <v>CNPJ</v>
      </c>
      <c r="D1" t="str" cm="1">
        <f t="array" ref="D1">_xll.ECONOMATICA(_xll.EcoRange(1,-3,26,-3),"Ticker",,,,,,,"false","true","Código Anbima")</f>
        <v>Código Anbima</v>
      </c>
      <c r="E1" t="str" cm="1">
        <f t="array" ref="E1">_xll.ECONOMATICA(_xll.EcoRange(1,-4,26,-4),"Anbima classification",,,,,,,"false","true")</f>
        <v>Classificação Anbima</v>
      </c>
      <c r="F1" t="str" cm="1">
        <f t="array" ref="F1">_xll.ECONOMATICA(_xll.EcoRange(1,-5,26,-5),"Fund manager",,,,,,,"false","true","Gestora ")</f>
        <v>Gestora</v>
      </c>
      <c r="G1" t="str" cm="1">
        <f t="array" ref="G1">_xll.ECONOMATICA(_xll.EcoRange(1,-6,26,-6),"Administrator",,,,,,,"false","true")</f>
        <v>Administradora</v>
      </c>
      <c r="H1" t="str" cm="1">
        <f t="array" ref="H1">_xll.ECONOMATICA(_xll.EcoRange(1,-7,26,-7),"Max management fee  %/year",,,,,,,"false","true","Taxa de Administração Máxima em % a.a.")</f>
        <v>Taxa de Administração Máxima em % a.a.</v>
      </c>
      <c r="I1" t="str" cm="1">
        <f t="array" ref="I1">_xll.ECONOMATICA(_xll.EcoRange(1,-8,26,-8),"Close",,"D-0",,,"ORIGINAL CURRENCY",,"false","true")</f>
        <v>Fechamento 12Mai26 ajust p/ prov Em moeda orig</v>
      </c>
      <c r="J1" t="str" cm="1">
        <f t="array" ref="J1">_xll.ECONOMATICA(_xll.EcoRange(1,-9,26,-9),"Close",,"LATEST",,,"ORIGINAL CURRENCY",,"false","true","Cota   em reais",{"tc.pers=3"})</f>
        <v>Cota   em reais</v>
      </c>
      <c r="K1" s="4" t="str" cm="1">
        <f t="array" ref="K1">_xll.ECONOMATICA(_xll.EcoRange(1,-10,26,-10),"Series Start Date",,,,,,,"false","true")</f>
        <v>Data do Início da Série</v>
      </c>
      <c r="L1" t="str" cm="1">
        <f t="array" ref="L1">_xll.ECONOMATICA(_xll.EcoRange(1,-11,26,-11),"Volatility","FROM START","D-0",,,"ORIGINAL CURRENCY",,"false","true")</f>
        <v>Volatilidade base anual 12Mai26 desde início Em moeda orig</v>
      </c>
      <c r="M1" t="str" cm="1">
        <f t="array" ref="M1">_xll.ECONOMATICA(_xll.EcoRange(1,-12,26,-12),"Net Assets",,"LATEST",,,"ORIGINAL CURRENCY","THOUSANDS","false","true")</f>
        <v>Patrimônio Mais recente Em moeda orig em milhares</v>
      </c>
    </row>
    <row r="2" spans="1:13" x14ac:dyDescent="0.25">
      <c r="A2" t="s">
        <v>44</v>
      </c>
      <c r="B2" t="s">
        <v>120</v>
      </c>
      <c r="C2" s="3">
        <v>41888219000156</v>
      </c>
      <c r="D2">
        <v>634468</v>
      </c>
      <c r="E2" t="s">
        <v>14</v>
      </c>
      <c r="F2" t="s">
        <v>15</v>
      </c>
      <c r="G2" t="s">
        <v>126</v>
      </c>
      <c r="J2">
        <v>1.7662260999999999</v>
      </c>
      <c r="K2" s="4">
        <v>44413</v>
      </c>
      <c r="L2">
        <v>0.37074900425000001</v>
      </c>
      <c r="M2">
        <v>1598464.3067000001</v>
      </c>
    </row>
    <row r="3" spans="1:13" x14ac:dyDescent="0.25">
      <c r="A3" t="s">
        <v>45</v>
      </c>
      <c r="B3" t="s">
        <v>132</v>
      </c>
      <c r="C3" s="3">
        <v>35789436000196</v>
      </c>
      <c r="D3">
        <v>526886</v>
      </c>
      <c r="E3" t="s">
        <v>14</v>
      </c>
      <c r="F3" t="s">
        <v>15</v>
      </c>
      <c r="G3" t="s">
        <v>126</v>
      </c>
      <c r="J3">
        <v>1.9418172199999999</v>
      </c>
      <c r="K3" s="4">
        <v>43866</v>
      </c>
      <c r="L3">
        <v>1.0987365091000001</v>
      </c>
      <c r="M3">
        <v>424848.57507999998</v>
      </c>
    </row>
    <row r="4" spans="1:13" x14ac:dyDescent="0.25">
      <c r="A4" t="s">
        <v>46</v>
      </c>
      <c r="B4" t="s">
        <v>64</v>
      </c>
      <c r="C4" s="3">
        <v>41888492000180</v>
      </c>
      <c r="D4">
        <v>601462</v>
      </c>
      <c r="E4" t="s">
        <v>14</v>
      </c>
      <c r="F4" t="s">
        <v>15</v>
      </c>
      <c r="G4" t="s">
        <v>126</v>
      </c>
      <c r="J4">
        <v>1.7933703999999999</v>
      </c>
      <c r="K4" s="4">
        <v>44393</v>
      </c>
      <c r="L4">
        <v>0.52976793022000002</v>
      </c>
      <c r="M4">
        <v>1251713.9221000001</v>
      </c>
    </row>
    <row r="5" spans="1:13" x14ac:dyDescent="0.25">
      <c r="A5" t="s">
        <v>19</v>
      </c>
      <c r="B5" t="s">
        <v>27</v>
      </c>
      <c r="C5" s="3">
        <v>13615411000133</v>
      </c>
      <c r="D5">
        <v>284491</v>
      </c>
      <c r="E5" t="s">
        <v>36</v>
      </c>
      <c r="F5" t="s">
        <v>38</v>
      </c>
      <c r="G5" t="s">
        <v>126</v>
      </c>
      <c r="J5">
        <v>5.3371224499999999</v>
      </c>
      <c r="K5" s="4">
        <v>39589</v>
      </c>
      <c r="L5">
        <v>0.88878194621999995</v>
      </c>
      <c r="M5">
        <v>203260.46554999999</v>
      </c>
    </row>
    <row r="6" spans="1:13" x14ac:dyDescent="0.25">
      <c r="A6" t="s">
        <v>47</v>
      </c>
      <c r="B6" t="s">
        <v>123</v>
      </c>
      <c r="C6" s="3">
        <v>48096589000108</v>
      </c>
      <c r="D6">
        <v>677930</v>
      </c>
      <c r="E6" t="s">
        <v>14</v>
      </c>
      <c r="F6" t="s">
        <v>39</v>
      </c>
      <c r="G6" t="s">
        <v>18</v>
      </c>
      <c r="J6">
        <v>1.5686396515000001</v>
      </c>
      <c r="K6" s="4">
        <v>44862</v>
      </c>
      <c r="L6">
        <v>0.26345108784999999</v>
      </c>
      <c r="M6">
        <v>734275.08262</v>
      </c>
    </row>
    <row r="7" spans="1:13" x14ac:dyDescent="0.25">
      <c r="A7" t="s">
        <v>48</v>
      </c>
      <c r="B7" t="s">
        <v>121</v>
      </c>
      <c r="C7" s="3">
        <v>48122126000165</v>
      </c>
      <c r="D7">
        <v>678007</v>
      </c>
      <c r="E7" t="s">
        <v>14</v>
      </c>
      <c r="F7" t="s">
        <v>39</v>
      </c>
      <c r="G7" t="s">
        <v>18</v>
      </c>
      <c r="J7">
        <v>1.5859877600000001</v>
      </c>
      <c r="K7" s="4">
        <v>44862</v>
      </c>
      <c r="L7">
        <v>0.48323049786</v>
      </c>
      <c r="M7">
        <v>1721026.4711</v>
      </c>
    </row>
    <row r="8" spans="1:13" x14ac:dyDescent="0.25">
      <c r="A8" t="s">
        <v>49</v>
      </c>
      <c r="B8" t="s">
        <v>65</v>
      </c>
      <c r="C8" s="3">
        <v>48986106000132</v>
      </c>
      <c r="D8">
        <v>687138</v>
      </c>
      <c r="E8" t="s">
        <v>35</v>
      </c>
      <c r="F8" t="s">
        <v>39</v>
      </c>
      <c r="G8" t="s">
        <v>18</v>
      </c>
      <c r="J8">
        <v>1.5832090000000001</v>
      </c>
      <c r="K8" s="4">
        <v>44925</v>
      </c>
      <c r="L8">
        <v>0.61119382151000001</v>
      </c>
      <c r="M8">
        <v>272263.42752999999</v>
      </c>
    </row>
    <row r="9" spans="1:13" x14ac:dyDescent="0.25">
      <c r="A9" t="s">
        <v>20</v>
      </c>
      <c r="B9" t="s">
        <v>28</v>
      </c>
      <c r="C9" s="3">
        <v>44025131000107</v>
      </c>
      <c r="D9">
        <v>624977</v>
      </c>
      <c r="E9" t="s">
        <v>35</v>
      </c>
      <c r="F9" t="s">
        <v>144</v>
      </c>
      <c r="G9" t="s">
        <v>18</v>
      </c>
      <c r="J9">
        <v>1.7252343999999999</v>
      </c>
      <c r="K9" s="4">
        <v>44523</v>
      </c>
      <c r="L9">
        <v>0.91291144928000001</v>
      </c>
      <c r="M9">
        <v>230557.05064</v>
      </c>
    </row>
    <row r="10" spans="1:13" x14ac:dyDescent="0.25">
      <c r="A10" t="s">
        <v>21</v>
      </c>
      <c r="B10" t="s">
        <v>133</v>
      </c>
      <c r="C10" s="3">
        <v>29044189000104</v>
      </c>
      <c r="D10">
        <v>462276</v>
      </c>
      <c r="E10" t="s">
        <v>17</v>
      </c>
      <c r="F10" t="s">
        <v>144</v>
      </c>
      <c r="G10" t="s">
        <v>18</v>
      </c>
      <c r="J10">
        <v>2.0633091000000001</v>
      </c>
      <c r="K10" s="4">
        <v>43187</v>
      </c>
      <c r="L10">
        <v>1.1015439641</v>
      </c>
      <c r="M10">
        <v>311423.15878</v>
      </c>
    </row>
    <row r="11" spans="1:13" x14ac:dyDescent="0.25">
      <c r="A11" t="s">
        <v>16</v>
      </c>
      <c r="B11" t="s">
        <v>134</v>
      </c>
      <c r="C11" s="3">
        <v>9720734000110</v>
      </c>
      <c r="D11">
        <v>216658</v>
      </c>
      <c r="E11" t="s">
        <v>17</v>
      </c>
      <c r="F11" t="s">
        <v>144</v>
      </c>
      <c r="G11" t="s">
        <v>18</v>
      </c>
      <c r="J11">
        <v>5.4968332000000002</v>
      </c>
      <c r="K11" s="4">
        <v>39702</v>
      </c>
      <c r="L11">
        <v>0.63200305878999996</v>
      </c>
      <c r="M11">
        <v>539746.10852000001</v>
      </c>
    </row>
    <row r="12" spans="1:13" x14ac:dyDescent="0.25">
      <c r="A12" t="s">
        <v>22</v>
      </c>
      <c r="B12" t="s">
        <v>29</v>
      </c>
      <c r="C12" s="3">
        <v>36498670000127</v>
      </c>
      <c r="D12">
        <v>531553</v>
      </c>
      <c r="E12" t="s">
        <v>17</v>
      </c>
      <c r="F12" t="s">
        <v>40</v>
      </c>
      <c r="G12" t="s">
        <v>18</v>
      </c>
      <c r="H12">
        <v>0.4</v>
      </c>
      <c r="J12">
        <v>1.9132096000000001</v>
      </c>
      <c r="K12" s="4">
        <v>43907</v>
      </c>
      <c r="L12">
        <v>0.33481661061000001</v>
      </c>
      <c r="M12">
        <v>3801596.9424000001</v>
      </c>
    </row>
    <row r="13" spans="1:13" x14ac:dyDescent="0.25">
      <c r="A13" t="s">
        <v>23</v>
      </c>
      <c r="B13" t="s">
        <v>30</v>
      </c>
      <c r="C13" s="3">
        <v>43917493000131</v>
      </c>
      <c r="D13">
        <v>620955</v>
      </c>
      <c r="E13" t="s">
        <v>17</v>
      </c>
      <c r="F13" t="s">
        <v>40</v>
      </c>
      <c r="G13" t="s">
        <v>18</v>
      </c>
      <c r="J13">
        <v>1.7399199000000001</v>
      </c>
      <c r="K13" s="4">
        <v>44498</v>
      </c>
      <c r="L13">
        <v>0.89491431573000002</v>
      </c>
      <c r="M13">
        <v>498517.97026999999</v>
      </c>
    </row>
    <row r="14" spans="1:13" x14ac:dyDescent="0.25">
      <c r="A14" t="s">
        <v>50</v>
      </c>
      <c r="B14" t="s">
        <v>124</v>
      </c>
      <c r="C14" s="3">
        <v>28320756000137</v>
      </c>
      <c r="D14">
        <v>489956</v>
      </c>
      <c r="E14" t="s">
        <v>14</v>
      </c>
      <c r="F14" t="s">
        <v>129</v>
      </c>
      <c r="G14" t="s">
        <v>127</v>
      </c>
      <c r="J14">
        <v>1926.6211780000001</v>
      </c>
      <c r="K14" s="4">
        <v>43538</v>
      </c>
      <c r="L14">
        <v>0.78192199373000004</v>
      </c>
      <c r="M14">
        <v>3569168.5296999998</v>
      </c>
    </row>
    <row r="15" spans="1:13" x14ac:dyDescent="0.25">
      <c r="A15" t="s">
        <v>51</v>
      </c>
      <c r="B15" t="s">
        <v>125</v>
      </c>
      <c r="C15" s="3">
        <v>29250121000173</v>
      </c>
      <c r="D15">
        <v>470473</v>
      </c>
      <c r="E15" t="s">
        <v>14</v>
      </c>
      <c r="F15" t="s">
        <v>61</v>
      </c>
      <c r="G15" t="s">
        <v>128</v>
      </c>
      <c r="J15">
        <v>2.1051864</v>
      </c>
      <c r="K15" s="4">
        <v>43283</v>
      </c>
      <c r="L15">
        <v>0.60675786850000002</v>
      </c>
      <c r="M15">
        <v>865976.72710999998</v>
      </c>
    </row>
    <row r="16" spans="1:13" x14ac:dyDescent="0.25">
      <c r="A16" t="s">
        <v>52</v>
      </c>
      <c r="B16" t="s">
        <v>135</v>
      </c>
      <c r="C16" s="3">
        <v>10783480000168</v>
      </c>
      <c r="D16">
        <v>259624</v>
      </c>
      <c r="E16" t="s">
        <v>14</v>
      </c>
      <c r="F16" t="s">
        <v>61</v>
      </c>
      <c r="G16" t="s">
        <v>128</v>
      </c>
      <c r="J16">
        <v>5.3789137599999997</v>
      </c>
      <c r="K16" s="4">
        <v>40389</v>
      </c>
      <c r="L16">
        <v>0.38517712632000001</v>
      </c>
      <c r="M16">
        <v>2164491.4808</v>
      </c>
    </row>
    <row r="17" spans="1:13" x14ac:dyDescent="0.25">
      <c r="A17" t="s">
        <v>24</v>
      </c>
      <c r="B17" t="s">
        <v>136</v>
      </c>
      <c r="C17" s="3">
        <v>20879578000177</v>
      </c>
      <c r="D17">
        <v>387444</v>
      </c>
      <c r="E17" t="s">
        <v>14</v>
      </c>
      <c r="F17" t="s">
        <v>41</v>
      </c>
      <c r="G17" t="s">
        <v>32</v>
      </c>
      <c r="J17">
        <v>2.9001288399999998</v>
      </c>
      <c r="K17" s="4">
        <v>42034</v>
      </c>
      <c r="L17">
        <v>0.82942731300000005</v>
      </c>
      <c r="M17">
        <v>1344300.3278000001</v>
      </c>
    </row>
    <row r="18" spans="1:13" x14ac:dyDescent="0.25">
      <c r="A18" t="s">
        <v>25</v>
      </c>
      <c r="B18" t="s">
        <v>137</v>
      </c>
      <c r="C18" s="3">
        <v>26978438000132</v>
      </c>
      <c r="D18">
        <v>456497</v>
      </c>
      <c r="E18" t="s">
        <v>17</v>
      </c>
      <c r="F18" t="s">
        <v>42</v>
      </c>
      <c r="G18" t="s">
        <v>126</v>
      </c>
      <c r="J18">
        <v>2.08702766</v>
      </c>
      <c r="K18" s="4">
        <v>43047</v>
      </c>
      <c r="L18">
        <v>0.88568005787000004</v>
      </c>
      <c r="M18">
        <v>1387026.9696</v>
      </c>
    </row>
    <row r="19" spans="1:13" x14ac:dyDescent="0.25">
      <c r="A19" t="s">
        <v>53</v>
      </c>
      <c r="B19" t="s">
        <v>138</v>
      </c>
      <c r="C19" s="3">
        <v>32756812000158</v>
      </c>
      <c r="D19">
        <v>494607</v>
      </c>
      <c r="E19" t="s">
        <v>34</v>
      </c>
      <c r="F19" t="s">
        <v>42</v>
      </c>
      <c r="G19" t="s">
        <v>126</v>
      </c>
      <c r="J19">
        <v>2.0185206</v>
      </c>
      <c r="K19" s="4">
        <v>43591</v>
      </c>
      <c r="L19">
        <v>0.67011672119999999</v>
      </c>
      <c r="M19">
        <v>187499.26952</v>
      </c>
    </row>
    <row r="20" spans="1:13" x14ac:dyDescent="0.25">
      <c r="A20" t="s">
        <v>26</v>
      </c>
      <c r="B20" t="s">
        <v>31</v>
      </c>
      <c r="C20" s="3">
        <v>21946695000179</v>
      </c>
      <c r="D20">
        <v>393185</v>
      </c>
      <c r="E20" t="s">
        <v>37</v>
      </c>
      <c r="F20" t="s">
        <v>43</v>
      </c>
      <c r="G20" t="s">
        <v>126</v>
      </c>
      <c r="J20">
        <v>321.29300705000003</v>
      </c>
      <c r="K20" s="4">
        <v>42118</v>
      </c>
      <c r="L20">
        <v>1.5295322672</v>
      </c>
      <c r="M20">
        <v>347114.09191999998</v>
      </c>
    </row>
    <row r="21" spans="1:13" x14ac:dyDescent="0.25">
      <c r="A21" t="s">
        <v>54</v>
      </c>
      <c r="B21" t="s">
        <v>122</v>
      </c>
      <c r="C21" s="3">
        <v>42699466000177</v>
      </c>
      <c r="D21">
        <v>635091</v>
      </c>
      <c r="E21" t="s">
        <v>14</v>
      </c>
      <c r="F21" t="s">
        <v>62</v>
      </c>
      <c r="G21" t="s">
        <v>33</v>
      </c>
      <c r="J21">
        <v>1.6933984</v>
      </c>
      <c r="K21" s="4">
        <v>44574</v>
      </c>
      <c r="L21">
        <v>0.44668575847000003</v>
      </c>
      <c r="M21">
        <v>2834785.7031</v>
      </c>
    </row>
    <row r="22" spans="1:13" x14ac:dyDescent="0.25">
      <c r="A22" t="s">
        <v>55</v>
      </c>
      <c r="B22" t="s">
        <v>139</v>
      </c>
      <c r="C22" s="3">
        <v>31455879000190</v>
      </c>
      <c r="D22">
        <v>478008</v>
      </c>
      <c r="E22" t="s">
        <v>34</v>
      </c>
      <c r="F22" t="s">
        <v>63</v>
      </c>
      <c r="G22" t="s">
        <v>126</v>
      </c>
      <c r="J22">
        <v>2.1123136100000002</v>
      </c>
      <c r="K22" s="4">
        <v>43395</v>
      </c>
      <c r="L22">
        <v>0.61300429763999997</v>
      </c>
      <c r="M22">
        <v>1157810.9491000001</v>
      </c>
    </row>
    <row r="23" spans="1:13" x14ac:dyDescent="0.25">
      <c r="A23" t="s">
        <v>56</v>
      </c>
      <c r="B23" t="s">
        <v>140</v>
      </c>
      <c r="C23" s="3">
        <v>23601467000192</v>
      </c>
      <c r="D23">
        <v>414972</v>
      </c>
      <c r="E23" t="s">
        <v>35</v>
      </c>
      <c r="F23" t="s">
        <v>63</v>
      </c>
      <c r="G23" t="s">
        <v>126</v>
      </c>
      <c r="J23">
        <v>3.2810511999999998</v>
      </c>
      <c r="K23" s="4">
        <v>42432</v>
      </c>
      <c r="L23">
        <v>3.2466781059000001</v>
      </c>
      <c r="M23">
        <v>73457.618279999995</v>
      </c>
    </row>
    <row r="24" spans="1:13" x14ac:dyDescent="0.25">
      <c r="A24" t="s">
        <v>57</v>
      </c>
      <c r="B24" t="s">
        <v>66</v>
      </c>
      <c r="C24" s="3">
        <v>18719154000101</v>
      </c>
      <c r="D24">
        <v>361445</v>
      </c>
      <c r="E24" t="s">
        <v>14</v>
      </c>
      <c r="F24" t="s">
        <v>130</v>
      </c>
      <c r="G24" t="s">
        <v>33</v>
      </c>
      <c r="J24">
        <v>3.3245078000000001</v>
      </c>
      <c r="K24" s="4">
        <v>41698</v>
      </c>
      <c r="L24">
        <v>0.54447901983000002</v>
      </c>
      <c r="M24">
        <v>6892815.1853999998</v>
      </c>
    </row>
    <row r="25" spans="1:13" x14ac:dyDescent="0.25">
      <c r="A25" t="s">
        <v>58</v>
      </c>
      <c r="B25" t="s">
        <v>141</v>
      </c>
      <c r="C25" s="3">
        <v>35378376000119</v>
      </c>
      <c r="D25">
        <v>523666</v>
      </c>
      <c r="E25" t="s">
        <v>34</v>
      </c>
      <c r="F25" t="s">
        <v>130</v>
      </c>
      <c r="G25" t="s">
        <v>33</v>
      </c>
      <c r="J25">
        <v>194.54251619999999</v>
      </c>
      <c r="K25" s="4">
        <v>43798</v>
      </c>
      <c r="L25">
        <v>0.70542075140000005</v>
      </c>
      <c r="M25">
        <v>535325.14901000005</v>
      </c>
    </row>
    <row r="26" spans="1:13" x14ac:dyDescent="0.25">
      <c r="A26" t="s">
        <v>59</v>
      </c>
      <c r="B26" t="s">
        <v>142</v>
      </c>
      <c r="C26" s="3">
        <v>32757330000112</v>
      </c>
      <c r="D26">
        <v>493831</v>
      </c>
      <c r="E26" t="s">
        <v>36</v>
      </c>
      <c r="F26" t="s">
        <v>131</v>
      </c>
      <c r="G26" t="s">
        <v>126</v>
      </c>
      <c r="J26">
        <v>2.0342990300000001</v>
      </c>
      <c r="K26" s="4">
        <v>43585</v>
      </c>
      <c r="L26">
        <v>0.85969764338999999</v>
      </c>
      <c r="M26">
        <v>140665.95079999999</v>
      </c>
    </row>
    <row r="27" spans="1:13" x14ac:dyDescent="0.25">
      <c r="A27" t="s">
        <v>60</v>
      </c>
      <c r="B27" t="s">
        <v>143</v>
      </c>
      <c r="C27" s="3">
        <v>32846811000102</v>
      </c>
      <c r="D27">
        <v>494089</v>
      </c>
      <c r="E27" t="s">
        <v>67</v>
      </c>
      <c r="F27" t="s">
        <v>131</v>
      </c>
      <c r="G27" t="s">
        <v>126</v>
      </c>
      <c r="J27">
        <v>1.94383778</v>
      </c>
      <c r="K27" s="4">
        <v>43579</v>
      </c>
      <c r="L27">
        <v>0.83844844567999999</v>
      </c>
      <c r="M27">
        <v>574548.92793999997</v>
      </c>
    </row>
    <row r="28" spans="1:13" x14ac:dyDescent="0.25">
      <c r="K28" s="4"/>
    </row>
    <row r="29" spans="1:13" x14ac:dyDescent="0.25">
      <c r="K29" s="4"/>
    </row>
    <row r="30" spans="1:13" x14ac:dyDescent="0.25">
      <c r="K30" s="4"/>
    </row>
    <row r="31" spans="1:13" x14ac:dyDescent="0.25">
      <c r="K31" s="4"/>
    </row>
    <row r="32" spans="1:13" x14ac:dyDescent="0.25">
      <c r="K32" s="4"/>
    </row>
    <row r="33" spans="11:11" x14ac:dyDescent="0.25">
      <c r="K33" s="4"/>
    </row>
    <row r="34" spans="11:11" x14ac:dyDescent="0.25">
      <c r="K34" s="4"/>
    </row>
    <row r="35" spans="11:11" x14ac:dyDescent="0.25">
      <c r="K35" s="4"/>
    </row>
    <row r="36" spans="11:11" x14ac:dyDescent="0.25">
      <c r="K36" s="4"/>
    </row>
    <row r="37" spans="11:11" x14ac:dyDescent="0.25">
      <c r="K37" s="4"/>
    </row>
    <row r="38" spans="11:11" x14ac:dyDescent="0.25">
      <c r="K38" s="4"/>
    </row>
  </sheetData>
  <dataValidations disablePrompts="1" count="1">
    <dataValidation errorStyle="warning" allowBlank="1" showInputMessage="1" showErrorMessage="1" promptTitle="Economatica Excel Add-In" prompt="45045: You are not logged in Economatica" sqref="B1" xr:uid="{5E17D911-FE83-4A2E-91D9-69B301E50A96}"/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51B4-0551-483C-9BF6-511190DCD443}">
  <dimension ref="A1:AB27"/>
  <sheetViews>
    <sheetView workbookViewId="0">
      <selection activeCell="C5" sqref="C5"/>
    </sheetView>
  </sheetViews>
  <sheetFormatPr defaultRowHeight="15" x14ac:dyDescent="0.25"/>
  <sheetData>
    <row r="1" spans="1:28" x14ac:dyDescent="0.25">
      <c r="B1" t="str" cm="1">
        <f t="array" ref="B1">_xll.ECONOMATICA(_xll.EcoRange(1,-1,26,-1),"Name",,,,,,,"false","true")</f>
        <v>Nome</v>
      </c>
      <c r="C1" t="str" cm="1">
        <f t="array" ref="C1">_xll.ECONOMATICA(_xll.EcoRange(1,-2,26,-2),"Correlation","12M","LATEST",,,"ORIGINAL CURRENCY",,"false","true",,{"jtc.per=0";"std.tec.stt.bmk=0:160134,1:160134,2:160134,3:160134,4:160134,5:160134,6:160134,7:160134,";"std.tec.stt.bmk=8:160134,9:160134,10:160134,11:160134,12:160134,13:160134,14:160134,15:160134,16:160134,17:160134,18:160134,19:160134,20:160134,21:160134,22:160134,23:160134,24:160134,25:160134,26:160134,27:160134,28:160134,29:160134,30:160134,31:160134,3";"std.tec.stt.bmk=2:160134,33:160134,34:160134,35:160134,36:160134,37:160134,38:160134,39:160134,40:160134,41:160134,42:160134,43:160134,44:160134,45:160134,46:160134,47:160134,48:160134,49:160134,50:160134,51:160134,52:160134,53:160134,54:160134,55:160134,";"std.tec.stt.bmk=56:160134,57:160134,58:160134,59:160134,60:160134,61:160134,62:160134,63:160134,64:160134,65:160134,66:160134,67:160134,68:160134,69:160134,70:160134,71:160134,72:160134,73:160134,74:160134,75:160134,76:160134,77:160134,78:160134,79:160134"})</f>
        <v>Correlacao Mais recente 12 meses Em moeda orig ARX Denali Advisory Fc FIF RF Créd Priv - Resp Lim</v>
      </c>
      <c r="D1" t="str" cm="1">
        <f t="array" ref="D1">_xll.ECONOMATICA(_xll.EcoRange(1,-3,26,-3),"Correlation","12M","LATEST",,,"ORIGINAL CURRENCY",,"false","true",,{"jtc.per=0";"std.tec.stt.bmk=0:137324,1:137324,2:137324,3:137324,4:137324,5:137324,6:137324,7:137324,";"std.tec.stt.bmk=8:137324,9:137324,10:137324,11:137324,12:137324,13:137324,14:137324,15:137324,16:137324,17:137324,18:137324,19:137324,20:137324,21:137324,22:137324,23:137324,24:137324,25:137324,26:137324,27:137324,28:137324,29:137324,30:137324,31:137324,3";"std.tec.stt.bmk=2:137324,33:137324,34:137324,35:137324,36:137324,37:137324,38:137324,39:137324,40:137324,41:137324,42:137324,43:137324,44:137324,45:137324,46:137324,47:137324,48:137324,49:137324,50:137324,51:137324,52:137324,53:137324,54:137324,55:137324,";"std.tec.stt.bmk=56:137324,57:137324,58:137324,59:137324,60:137324,61:137324,62:137324,63:137324,64:137324,65:137324,66:137324,67:137324,68:137324,69:137324,70:137324,71:137324,72:137324,73:137324,74:137324,75:137324,76:137324,77:137324,78:137324,79:137324"})</f>
        <v>Correlacao Mais recente 12 meses Em moeda orig ARX Everest Advisory Fc FIF RF Cred Priv - Resp Limitada</v>
      </c>
      <c r="E1" t="str" cm="1">
        <f t="array" ref="E1">_xll.ECONOMATICA(_xll.EcoRange(1,-4,26,-4),"Correlation","12M","LATEST",,,"ORIGINAL CURRENCY",,"false","true",,{"jtc.per=0";"std.tec.stt.bmk=0:159179,1:159179,2:159179,3:159179,4:159179,5:159179,6:159179,7:159179,";"std.tec.stt.bmk=8:159179,9:159179,10:159179,11:159179,12:159179,13:159179,14:159179,15:159179,16:159179,17:159179,18:159179,19:159179,20:159179,21:159179,22:159179,23:159179,24:159179,25:159179,26:159179,27:159179,28:159179,29:159179,30:159179,31:159179,3";"std.tec.stt.bmk=2:159179,33:159179,34:159179,35:159179,36:159179,37:159179,38:159179,39:159179,40:159179,41:159179,42:159179,43:159179,44:159179,45:159179,46:159179,47:159179,48:159179,49:159179,50:159179,51:159179,52:159179,53:159179,54:159179,55:159179,";"std.tec.stt.bmk=56:159179,57:159179,58:159179,59:159179,60:159179,61:159179,62:159179,63:159179,64:159179,65:159179,66:159179,67:159179,68:159179,69:159179,70:159179,71:159179,72:159179,73:159179,74:159179,75:159179,76:159179,77:159179,78:159179,79:159179"})</f>
        <v>Correlacao Mais recente 12 meses Em moeda orig ARX Vinson Adv Fc FIF RF Cred Priv - Resp Limitada</v>
      </c>
      <c r="F1" t="str" cm="1">
        <f t="array" ref="F1">_xll.ECONOMATICA(_xll.EcoRange(1,-5,26,-5),"Correlation","12M","LATEST",,,"ORIGINAL CURRENCY",,"false","true",,{"jtc.per=0";"std.tec.stt.bmk=0:53373,1:53373,2:53373,3:53373,4:53373,5:53373,6:53373,7:53373,8:53373,9:53373,10:53373,11:53373,12:53373,13:53373,14:53373,15:53373,16:53373,17:53373,18:53373,19:53373,20:53373,21:53373,22:53373,23:53373,24:53373,25:53373,26:5337";"std.tec.stt.bmk=3,27:53373,28:53373,29:53373,30:53373,31:53373,32:53373,33:53373,34:53373,35:53373,36:53373,37:53373,38:53373,39:53373,40:53373,41:53373,42:53373,43:53373,44:53373,45:53373,46:53373,47:53373,48:53373,49:53373,50:53373,51:53373,52:53373,53:";"std.tec.stt.bmk=53373,54:53373,55:53373,56:53373,57:53373,58:53373,59:53373,60:53373,61:53373,62:53373,63:53373,64:53373,65:53373,66:53373,67:53373,68:53373,69:53373,70:53373,71:53373,72:53373,73:53373,74:53373,75:53373,76:53373,77:53373,78:53373,79:53373"})</f>
        <v>Correlacao Mais recente 12 meses Em moeda orig Capitânia Top Cred Priv Fc FIF RF - Resp Limitada</v>
      </c>
      <c r="G1" t="str" cm="1">
        <f t="array" ref="G1">_xll.ECONOMATICA(_xll.EcoRange(1,-6,26,-6),"Correlation","12M","LATEST",,,"ORIGINAL CURRENCY",,"false","true",,{"jtc.per=0";"std.tec.stt.bmk=0:173820,1:173820,2:173820,3:173820,4:173820,5:173820,6:173820,7:173820,";"std.tec.stt.bmk=8:173820,9:173820,10:173820,11:173820,12:173820,13:173820,14:173820,15:173820,16:173820,17:173820,18:173820,19:173820,20:173820,21:173820,22:173820,23:173820,24:173820,25:173820,26:173820,27:173820,28:173820,29:173820,30:173820,31:173820,3";"std.tec.stt.bmk=2:173820,33:173820,34:173820,35:173820,36:173820,37:173820,38:173820,39:173820,40:173820,41:173820,42:173820,43:173820,44:173820,45:173820,46:173820,47:173820,48:173820,49:173820,50:173820,51:173820,52:173820,53:173820,54:173820,55:173820,";"std.tec.stt.bmk=56:173820,57:173820,58:173820,59:173820,60:173820,61:173820,62:173820,63:173820,64:173820,65:173820,66:173820,67:173820,68:173820,69:173820,70:173820,71:173820,72:173820,73:173820,74:173820,75:173820,76:173820,77:173820,78:173820,79:173820"})</f>
        <v>Correlacao Mais recente 12 meses Em moeda orig Classe Única de Cotas do Absolute Atenas Advisory FI Financeiro em Cota</v>
      </c>
      <c r="H1" t="str" cm="1">
        <f t="array" ref="H1">_xll.ECONOMATICA(_xll.EcoRange(1,-7,26,-7),"Correlation","12M","LATEST",,,"ORIGINAL CURRENCY",,"false","true",,{"jtc.per=0";"std.tec.stt.bmk=0:173821,1:173821,2:173821,3:173821,4:173821,5:173821,6:173821,7:173821,";"std.tec.stt.bmk=8:173821,9:173821,10:173821,11:173821,12:173821,13:173821,14:173821,15:173821,16:173821,17:173821,18:173821,19:173821,20:173821,21:173821,22:173821,23:173821,24:173821,25:173821,26:173821,27:173821,28:173821,29:173821,30:173821,31:173821,3";"std.tec.stt.bmk=2:173821,33:173821,34:173821,35:173821,36:173821,37:173821,38:173821,39:173821,40:173821,41:173821,42:173821,43:173821,44:173821,45:173821,46:173821,47:173821,48:173821,49:173821,50:173821,51:173821,52:173821,53:173821,54:173821,55:173821,";"std.tec.stt.bmk=56:173821,57:173821,58:173821,59:173821,60:173821,61:173821,62:173821,63:173821,64:173821,65:173821,66:173821,67:173821,68:173821,69:173821,70:173821,71:173821,72:173821,73:173821,74:173821,75:173821,76:173821,77:173821,78:173821,79:173821"})</f>
        <v>Correlacao Mais recente 12 meses Em moeda orig Classe Única de Cotas do Absolute Creta Advisory F</v>
      </c>
      <c r="I1" t="str" cm="1">
        <f t="array" ref="I1">_xll.ECONOMATICA(_xll.EcoRange(1,-8,26,-8),"Correlation","12M","LATEST",,,"ORIGINAL CURRENCY",,"false","true",,{"jtc.per=0";"std.tec.stt.bmk=0:176480,1:176480,2:176480,3:176480,4:176480,5:176480,6:176480,7:176480,";"std.tec.stt.bmk=8:176480,9:176480,10:176480,11:176480,12:176480,13:176480,14:176480,15:176480,16:176480,17:176480,18:176480,19:176480,20:176480,21:176480,22:176480,23:176480,24:176480,25:176480,26:176480,27:176480,28:176480,29:176480,30:176480,31:176480,3";"std.tec.stt.bmk=2:176480,33:176480,34:176480,35:176480,36:176480,37:176480,38:176480,39:176480,40:176480,41:176480,42:176480,43:176480,44:176480,45:176480,46:176480,47:176480,48:176480,49:176480,50:176480,51:176480,52:176480,53:176480,54:176480,55:176480,";"std.tec.stt.bmk=56:176480,57:176480,58:176480,59:176480,60:176480,61:176480,62:176480,63:176480,64:176480,65:176480,66:176480,67:176480,68:176480,69:176480,70:176480,71:176480,72:176480,73:176480,74:176480,75:176480,76:176480,77:176480,78:176480,79:176480"})</f>
        <v>Correlacao Mais recente 12 meses Em moeda orig Classe Única de Cotas do Absolute Olimpia Fundo de</v>
      </c>
      <c r="J1" t="str" cm="1">
        <f t="array" ref="J1">_xll.ECONOMATICA(_xll.EcoRange(1,-9,26,-9),"Correlation","12M","LATEST",,,"ORIGINAL CURRENCY",,"false","true",,{"jtc.per=0";"std.tec.stt.bmk=0:163596,1:163596,2:163596,3:163596,4:163596,5:163596,6:163596,7:163596,";"std.tec.stt.bmk=8:163596,9:163596,10:163596,11:163596,12:163596,13:163596,14:163596,15:163596,16:163596,17:163596,18:163596,19:163596,20:163596,21:163596,22:163596,23:163596,24:163596,25:163596,26:163596,27:163596,28:163596,29:163596,30:163596,31:163596,3";"std.tec.stt.bmk=2:163596,33:163596,34:163596,35:163596,36:163596,37:163596,38:163596,39:163596,40:163596,41:163596,42:163596,43:163596,44:163596,45:163596,46:163596,47:163596,48:163596,49:163596,50:163596,51:163596,52:163596,53:163596,54:163596,55:163596,";"std.tec.stt.bmk=56:163596,57:163596,58:163596,59:163596,60:163596,61:163596,62:163596,63:163596,64:163596,65:163596,66:163596,67:163596,68:163596,69:163596,70:163596,71:163596,72:163596,73:163596,74:163596,75:163596,76:163596,77:163596,78:163596,79:163596"})</f>
        <v>Correlacao Mais recente 12 meses Em moeda orig Classe Unica de Cotas do Af Horizonte Fundo de Inv</v>
      </c>
      <c r="K1" t="str" cm="1">
        <f t="array" ref="K1">_xll.ECONOMATICA(_xll.EcoRange(1,-10,26,-10),"Correlation","12M","LATEST",,,"ORIGINAL CURRENCY",,"false","true",,{"jtc.per=0";"std.tec.stt.bmk=0:100360,1:100360,2:100360,3:100360,4:100360,5:100360,6:100360,7:100360,";"std.tec.stt.bmk=8:100360,9:100360,10:100360,11:100360,12:100360,13:100360,14:100360,15:100360,16:100360,17:100360,18:100360,19:100360,20:100360,21:100360,22:100360,23:100360,24:100360,25:100360,26:100360,27:100360,28:100360,29:100360,30:100360,31:100360,3";"std.tec.stt.bmk=2:100360,33:100360,34:100360,35:100360,36:100360,37:100360,38:100360,39:100360,40:100360,41:100360,42:100360,43:100360,44:100360,45:100360,46:100360,47:100360,48:100360,49:100360,50:100360,51:100360,52:100360,53:100360,54:100360,55:100360,";"std.tec.stt.bmk=56:100360,57:100360,58:100360,59:100360,60:100360,61:100360,62:100360,63:100360,64:100360,65:100360,66:100360,67:100360,68:100360,69:100360,70:100360,71:100360,72:100360,73:100360,74:100360,75:100360,76:100360,77:100360,78:100360,79:100360"})</f>
        <v>Correlacao Mais recente 12 meses Em moeda orig Classe Única de Cotas do Af Invest Geraes 30 FI Financeiro RF -</v>
      </c>
      <c r="L1" t="str" cm="1">
        <f t="array" ref="L1">_xll.ECONOMATICA(_xll.EcoRange(1,-11,26,-11),"Correlation","12M","LATEST",,,"ORIGINAL CURRENCY",,"false","true",,{"jtc.per=0";"std.tec.stt.bmk=0:41748,1:41748,2:41748,3:41748,4:41748,5:41748,6:41748,7:41748,8:41748,9:41748,10:41748,11:41748,12:41748,13:41748,14:41748,15:41748,16:41748,17:41748,18:41748,19:41748,20:41748,21:41748,22:41748,23:41748,24:41748,25:41748,26:4174";"std.tec.stt.bmk=8,27:41748,28:41748,29:41748,30:41748,31:41748,32:41748,33:41748,34:41748,35:41748,36:41748,37:41748,38:41748,39:41748,40:41748,41:41748,42:41748,43:41748,44:41748,45:41748,46:41748,47:41748,48:41748,49:41748,50:41748,51:41748,52:41748,53:";"std.tec.stt.bmk=41748,54:41748,55:41748,56:41748,57:41748,58:41748,59:41748,60:41748,61:41748,62:41748,63:41748,64:41748,65:41748,66:41748,67:41748,68:41748,69:41748,70:41748,71:41748,72:41748,73:41748,74:41748,75:41748,76:41748,77:41748,78:41748,79:41748"})</f>
        <v>Correlacao Mais recente 12 meses Em moeda orig Classe Única de Cotas do Af Invest Geraes FI Financeiro RF - Cr</v>
      </c>
      <c r="M1" t="str" cm="1">
        <f t="array" ref="M1">_xll.ECONOMATICA(_xll.EcoRange(1,-12,26,-12),"Correlation","12M","LATEST",,,"ORIGINAL CURRENCY",,"false","true",,{"jtc.per=0";"std.tec.stt.bmk=0:139069,1:139069,2:139069,3:139069,4:139069,5:139069,6:139069,7:139069,";"std.tec.stt.bmk=8:139069,9:139069,10:139069,11:139069,12:139069,13:139069,14:139069,15:139069,16:139069,17:139069,18:139069,19:139069,20:139069,21:139069,22:139069,23:139069,24:139069,25:139069,26:139069,27:139069,28:139069,29:139069,30:139069,31:139069,3";"std.tec.stt.bmk=2:139069,33:139069,34:139069,35:139069,36:139069,37:139069,38:139069,39:139069,40:139069,41:139069,42:139069,43:139069,44:139069,45:139069,46:139069,47:139069,48:139069,49:139069,50:139069,51:139069,52:139069,53:139069,54:139069,55:139069,";"std.tec.stt.bmk=56:139069,57:139069,58:139069,59:139069,60:139069,61:139069,62:139069,63:139069,64:139069,65:139069,66:139069,67:139069,68:139069,69:139069,70:139069,71:139069,72:139069,73:139069,74:139069,75:139069,76:139069,77:139069,78:139069,79:139069"})</f>
        <v>Correlacao Mais recente 12 meses Em moeda orig Classe Única de Cotas do Riza Lotus Fundo de Inves</v>
      </c>
      <c r="N1" t="str" cm="1">
        <f t="array" ref="N1">_xll.ECONOMATICA(_xll.EcoRange(1,-13,26,-13),"Correlation","12M","LATEST",,,"ORIGINAL CURRENCY",,"false","true",,{"jtc.per=0";"std.tec.stt.bmk=0:162953,1:162953,2:162953,3:162953,4:162953,5:162953,6:162953,7:162953,";"std.tec.stt.bmk=8:162953,9:162953,10:162953,11:162953,12:162953,13:162953,14:162953,15:162953,16:162953,17:162953,18:162953,19:162953,20:162953,21:162953,22:162953,23:162953,24:162953,25:162953,26:162953,27:162953,28:162953,29:162953,30:162953,31:162953,3";"std.tec.stt.bmk=2:162953,33:162953,34:162953,35:162953,36:162953,37:162953,38:162953,39:162953,40:162953,41:162953,42:162953,43:162953,44:162953,45:162953,46:162953,47:162953,48:162953,49:162953,50:162953,51:162953,52:162953,53:162953,54:162953,55:162953,";"std.tec.stt.bmk=56:162953,57:162953,58:162953,59:162953,60:162953,61:162953,62:162953,63:162953,64:162953,65:162953,66:162953,67:162953,68:162953,69:162953,70:162953,71:162953,72:162953,73:162953,74:162953,75:162953,76:162953,77:162953,78:162953,79:162953"})</f>
        <v>Correlacao Mais recente 12 meses Em moeda orig Classe Única de Cotas do Riza Lotus Plus Advisory</v>
      </c>
      <c r="O1" t="str" cm="1">
        <f t="array" ref="O1">_xll.ECONOMATICA(_xll.EcoRange(1,-14,26,-14),"Correlation","12M","LATEST",,,"ORIGINAL CURRENCY",,"false","true",,{"jtc.per=0";"std.tec.stt.bmk=0:108665,1:108665,2:108665,3:108665,4:108665,5:108665,6:108665,7:108665,";"std.tec.stt.bmk=8:108665,9:108665,10:108665,11:108665,12:108665,13:108665,14:108665,15:108665,16:108665,17:108665,18:108665,19:108665,20:108665,21:108665,22:108665,23:108665,24:108665,25:108665,26:108665,27:108665,28:108665,29:108665,30:108665,31:108665,3";"std.tec.stt.bmk=2:108665,33:108665,34:108665,35:108665,36:108665,37:108665,38:108665,39:108665,40:108665,41:108665,42:108665,43:108665,44:108665,45:108665,46:108665,47:108665,48:108665,49:108665,50:108665,51:108665,52:108665,53:108665,54:108665,55:108665,";"std.tec.stt.bmk=56:108665,57:108665,58:108665,59:108665,60:108665,61:108665,62:108665,63:108665,64:108665,65:108665,66:108665,67:108665,68:108665,69:108665,70:108665,71:108665,72:108665,73:108665,74:108665,75:108665,76:108665,77:108665,78:108665,79:108665"})</f>
        <v>Correlacao Mais recente 12 meses Em moeda orig Classe Única do Western Asset Total Credit Advisory FIC de Fund</v>
      </c>
      <c r="P1" t="str" cm="1">
        <f t="array" ref="P1">_xll.ECONOMATICA(_xll.EcoRange(1,-15,26,-15),"Correlation","12M","LATEST",,,"ORIGINAL CURRENCY",,"false","true",,{"jtc.per=0";"std.tec.stt.bmk=0:102928,1:102928,2:102928,3:102928,4:102928,5:102928,6:102928,7:102928,";"std.tec.stt.bmk=8:102928,9:102928,10:102928,11:102928,12:102928,13:102928,14:102928,15:102928,16:102928,17:102928,18:102928,19:102928,20:102928,21:102928,22:102928,23:102928,24:102928,25:102928,26:102928,27:102928,28:102928,29:102928,30:102928,31:102928,3";"std.tec.stt.bmk=2:102928,33:102928,34:102928,35:102928,36:102928,37:102928,38:102928,39:102928,40:102928,41:102928,42:102928,43:102928,44:102928,45:102928,46:102928,47:102928,48:102928,49:102928,50:102928,51:102928,52:102928,53:102928,54:102928,55:102928,";"std.tec.stt.bmk=56:102928,57:102928,58:102928,59:102928,60:102928,61:102928,62:102928,63:102928,64:102928,65:102928,66:102928,67:102928,68:102928,69:102928,70:102928,71:102928,72:102928,73:102928,74:102928,75:102928,76:102928,77:102928,78:102928,79:102928"})</f>
        <v>Correlacao Mais recente 12 meses Em moeda orig Daycoval Classic 30 Classe de Investimento RF Cred Priv Resp Limitada</v>
      </c>
      <c r="Q1" t="str" cm="1">
        <f t="array" ref="Q1">_xll.ECONOMATICA(_xll.EcoRange(1,-16,26,-16),"Correlation","12M","LATEST",,,"ORIGINAL CURRENCY",,"false","true",,{"jtc.per=0";"std.tec.stt.bmk=0:48273,1:48273,2:48273,3:48273,4:48273,5:48273,6:48273,7:48273,8:48273,9:48273,10:48273,11:48273,12:48273,13:48273,14:48273,15:48273,16:48273,17:48273,18:48273,19:48273,20:48273,21:48273,22:48273,23:48273,24:48273,25:48273,26:4827";"std.tec.stt.bmk=3,27:48273,28:48273,29:48273,30:48273,31:48273,32:48273,33:48273,34:48273,35:48273,36:48273,37:48273,38:48273,39:48273,40:48273,41:48273,42:48273,43:48273,44:48273,45:48273,46:48273,47:48273,48:48273,49:48273,50:48273,51:48273,52:48273,53:";"std.tec.stt.bmk=48273,54:48273,55:48273,56:48273,57:48273,58:48273,59:48273,60:48273,61:48273,62:48273,63:48273,64:48273,65:48273,66:48273,67:48273,68:48273,69:48273,70:48273,71:48273,72:48273,73:48273,74:48273,75:48273,76:48273,77:48273,78:48273,79:48273"})</f>
        <v>Correlacao Mais recente 12 meses Em moeda orig Daycoval Classic Classe de Investimento em Cotas de FI RF Cred Priv Resp Limitadýs C_x0018_ ¬ý</v>
      </c>
      <c r="R1" t="str" cm="1">
        <f t="array" ref="R1">_xll.ECONOMATICA(_xll.EcoRange(1,-17,26,-17),"Correlation","12M","LATEST",,,"ORIGINAL CURRENCY",,"false","true",,{"jtc.per=0";"std.tec.stt.bmk=0:72394,1:72394,2:72394,3:72394,4:72394,5:72394,6:72394,7:72394,8:72394,9:72394,10:72394,11:72394,12:72394,13:72394,14:72394,15:72394,16:72394,17:72394,18:72394,19:72394,20:72394,21:72394,22:72394,23:72394,24:72394,25:72394,26:7239";"std.tec.stt.bmk=4,27:72394,28:72394,29:72394,30:72394,31:72394,32:72394,33:72394,34:72394,35:72394,36:72394,37:72394,38:72394,39:72394,40:72394,41:72394,42:72394,43:72394,44:72394,45:72394,46:72394,47:72394,48:72394,49:72394,50:72394,51:72394,52:72394,53:";"std.tec.stt.bmk=72394,54:72394,55:72394,56:72394,57:72394,58:72394,59:72394,60:72394,61:72394,62:72394,63:72394,64:72394,65:72394,66:72394,67:72394,68:72394,69:72394,70:72394,71:72394,72:72394,73:72394,74:72394,75:72394,76:72394,77:72394,78:72394,79:72394"})</f>
        <v>Correlacao Mais recente 12 meses Em moeda orig Inter Conservador FI Financeiro RF Cred Priv Responsabili</v>
      </c>
      <c r="S1" t="str" cm="1">
        <f t="array" ref="S1">_xll.ECONOMATICA(_xll.EcoRange(1,-18,26,-18),"Correlation","12M","LATEST",,,"ORIGINAL CURRENCY",,"false","true",,{"jtc.per=0";"std.tec.stt.bmk=0:98107,1:98107,2:98107,3:98107,4:98107,5:98107,6:98107,7:98107,8:98107,9:98107,10:98107,11:98107,12:98107,13:98107,14:98107,15:98107,16:98107,17:98107,18:98107,19:98107,20:98107,21:98107,22:98107,23:98107,24:98107,25:98107,26:9810";"std.tec.stt.bmk=7,27:98107,28:98107,29:98107,30:98107,31:98107,32:98107,33:98107,34:98107,35:98107,36:98107,37:98107,38:98107,39:98107,40:98107,41:98107,42:98107,43:98107,44:98107,45:98107,46:98107,47:98107,48:98107,49:98107,50:98107,51:98107,52:98107,53:";"std.tec.stt.bmk=98107,54:98107,55:98107,56:98107,57:98107,58:98107,59:98107,60:98107,61:98107,62:98107,63:98107,64:98107,65:98107,66:98107,67:98107,68:98107,69:98107,70:98107,71:98107,72:98107,73:98107,74:98107,75:98107,76:98107,77:98107,78:98107,79:98107"})</f>
        <v>Correlacao Mais recente 12 meses Em moeda orig Iridium Apollo Fc FIF RF Cred Priv LP - Resp Limitada</v>
      </c>
      <c r="T1" t="str" cm="1">
        <f t="array" ref="T1">_xll.ECONOMATICA(_xll.EcoRange(1,-19,26,-19),"Correlation","12M","LATEST",,,"ORIGINAL CURRENCY",,"false","true",,{"jtc.per=0";"std.tec.stt.bmk=0:116975,1:116975,2:116975,3:116975,4:116975,5:116975,6:116975,7:116975,";"std.tec.stt.bmk=8:116975,9:116975,10:116975,11:116975,12:116975,13:116975,14:116975,15:116975,16:116975,17:116975,18:116975,19:116975,20:116975,21:116975,22:116975,23:116975,24:116975,25:116975,26:116975,27:116975,28:116975,29:116975,30:116975,31:116975,3";"std.tec.stt.bmk=2:116975,33:116975,34:116975,35:116975,36:116975,37:116975,38:116975,39:116975,40:116975,41:116975,42:116975,43:116975,44:116975,45:116975,46:116975,47:116975,48:116975,49:116975,50:116975,51:116975,52:116975,53:116975,54:116975,55:116975,";"std.tec.stt.bmk=56:116975,57:116975,58:116975,59:116975,60:116975,61:116975,62:116975,63:116975,64:116975,65:116975,66:116975,67:116975,68:116975,69:116975,70:116975,71:116975,72:116975,73:116975,74:116975,75:116975,76:116975,77:116975,78:116975,79:116975"})</f>
        <v>Correlacao Mais recente 12 meses Em moeda orig Iridium Titan Advisory Fc FIF RF Cred Priv ? Resp Limitada</v>
      </c>
      <c r="U1" t="str" cm="1">
        <f t="array" ref="U1">_xll.ECONOMATICA(_xll.EcoRange(1,-20,26,-20),"Correlation","12M","LATEST",,,"ORIGINAL CURRENCY",,"false","true",,{"jtc.per=0";"std.tec.stt.bmk=0:74380,1:74380,2:74380,3:74380,4:74380,5:74380,6:74380,7:74380,8:74380,9:74380,10:74380,11:74380,12:74380,13:74380,14:74380,15:74380,16:74380,17:74380,18:74380,19:74380,20:74380,21:74380,22:74380,23:74380,24:74380,25:74380,26:7438";"std.tec.stt.bmk=0,27:74380,28:74380,29:74380,30:74380,31:74380,32:74380,33:74380,34:74380,35:74380,36:74380,37:74380,38:74380,39:74380,40:74380,41:74380,42:74380,43:74380,44:74380,45:74380,46:74380,47:74380,48:74380,49:74380,50:74380,51:74380,52:74380,53:";"std.tec.stt.bmk=74380,54:74380,55:74380,56:74380,57:74380,58:74380,59:74380,60:74380,61:74380,62:74380,63:74380,64:74380,65:74380,66:74380,67:74380,68:74380,69:74380,70:74380,71:74380,72:74380,73:74380,74:74380,75:74380,76:74380,77:74380,78:74380,79:74380"})</f>
        <v>Correlacao Mais recente 12 meses Em moeda orig Jgp Select Fc FIF Mult Cred Priv - Resp Limitada</v>
      </c>
      <c r="V1" t="str" cm="1">
        <f t="array" ref="V1">_xll.ECONOMATICA(_xll.EcoRange(1,-21,26,-21),"Correlation","12M","LATEST",,,"ORIGINAL CURRENCY",,"false","true",,{"jtc.per=0";"std.tec.stt.bmk=0:164961,1:164961,2:164961,3:164961,4:164961,5:164961,6:164961,7:164961,";"std.tec.stt.bmk=8:164961,9:164961,10:164961,11:164961,12:164961,13:164961,14:164961,15:164961,16:164961,17:164961,18:164961,19:164961,20:164961,21:164961,22:164961,23:164961,24:164961,25:164961,26:164961,27:164961,28:164961,29:164961,30:164961,31:164961,3";"std.tec.stt.bmk=2:164961,33:164961,34:164961,35:164961,36:164961,37:164961,38:164961,39:164961,40:164961,41:164961,42:164961,43:164961,44:164961,45:164961,46:164961,47:164961,48:164961,49:164961,50:164961,51:164961,52:164961,53:164961,54:164961,55:164961,";"std.tec.stt.bmk=56:164961,57:164961,58:164961,59:164961,60:164961,61:164961,62:164961,63:164961,64:164961,65:164961,66:164961,67:164961,68:164961,69:164961,70:164961,71:164961,72:164961,73:164961,74:164961,75:164961,76:164961,77:164961,78:164961,79:164961"})</f>
        <v>Correlacao Mais recente 12 meses Em moeda orig Nu Reserva Imediata FIF Cic RF Ref DI Resp Limitad</v>
      </c>
      <c r="W1" t="str" cm="1">
        <f t="array" ref="W1">_xll.ECONOMATICA(_xll.EcoRange(1,-22,26,-22),"Correlation","12M","LATEST",,,"ORIGINAL CURRENCY",,"false","true",,{"jtc.per=0";"std.tec.stt.bmk=0:104803,1:104803,2:104803,3:104803,4:104803,5:104803,6:104803,7:104803,";"std.tec.stt.bmk=8:104803,9:104803,10:104803,11:104803,12:104803,13:104803,14:104803,15:104803,16:104803,17:104803,18:104803,19:104803,20:104803,21:104803,22:104803,23:104803,24:104803,25:104803,26:104803,27:104803,28:104803,29:104803,30:104803,31:104803,3";"std.tec.stt.bmk=2:104803,33:104803,34:104803,35:104803,36:104803,37:104803,38:104803,39:104803,40:104803,41:104803,42:104803,43:104803,44:104803,45:104803,46:104803,47:104803,48:104803,49:104803,50:104803,51:104803,52:104803,53:104803,54:104803,55:104803,";"std.tec.stt.bmk=56:104803,57:104803,58:104803,59:104803,60:104803,61:104803,62:104803,63:104803,64:104803,65:104803,66:104803,67:104803,68:104803,69:104803,70:104803,71:104803,72:104803,73:104803,74:104803,75:104803,76:104803,77:104803,78:104803,79:104803"})</f>
        <v>Correlacao Mais recente 12 meses Em moeda orig Polo Crédito Corporativo Advisory Fc FIF RF Cred Priv LP - Resp Limitada</v>
      </c>
      <c r="X1" t="str" cm="1">
        <f t="array" ref="X1">_xll.ECONOMATICA(_xll.EcoRange(1,-23,26,-23),"Correlation","12M","LATEST",,,"ORIGINAL CURRENCY",,"false","true",,{"jtc.per=0";"std.tec.stt.bmk=0:81989,1:81989,2:81989,3:81989,4:81989,5:81989,6:81989,7:81989,8:81989,9:81989,10:81989,11:81989,12:81989,13:81989,14:81989,15:81989,16:81989,17:81989,18:81989,19:81989,20:81989,21:81989,22:81989,23:81989,24:81989,25:81989,26:8198";"std.tec.stt.bmk=9,27:81989,28:81989,29:81989,30:81989,31:81989,32:81989,33:81989,34:81989,35:81989,36:81989,37:81989,38:81989,39:81989,40:81989,41:81989,42:81989,43:81989,44:81989,45:81989,46:81989,47:81989,48:81989,49:81989,50:81989,51:81989,52:81989,53:";"std.tec.stt.bmk=81989,54:81989,55:81989,56:81989,57:81989,58:81989,59:81989,60:81989,61:81989,62:81989,63:81989,64:81989,65:81989,66:81989,67:81989,68:81989,69:81989,70:81989,71:81989,72:81989,73:81989,74:81989,75:81989,76:81989,77:81989,78:81989,79:81989"})</f>
        <v>Correlacao Mais recente 12 meses Em moeda orig Polo Total Credit Fc FIF Mult Cred Priv - Resp Limitada</v>
      </c>
      <c r="Y1" t="str" cm="1">
        <f t="array" ref="Y1">_xll.ECONOMATICA(_xll.EcoRange(1,-24,26,-24),"Correlation","12M","LATEST",,,"ORIGINAL CURRENCY",,"false","true",,{"jtc.per=0";"std.tec.stt.bmk=0:65346,1:65346,2:65346,3:65346,4:65346,5:65346,6:65346,7:65346,8:65346,9:65346,10:65346,11:65346,12:65346,13:65346,14:65346,15:65346,16:65346,17:65346,18:65346,19:65346,20:65346,21:65346,22:65346,23:65346,24:65346,25:65346,26:6534";"std.tec.stt.bmk=6,27:65346,28:65346,29:65346,30:65346,31:65346,32:65346,33:65346,34:65346,35:65346,36:65346,37:65346,38:65346,39:65346,40:65346,41:65346,42:65346,43:65346,44:65346,45:65346,46:65346,47:65346,48:65346,49:65346,50:65346,51:65346,52:65346,53:";"std.tec.stt.bmk=65346,54:65346,55:65346,56:65346,57:65346,58:65346,59:65346,60:65346,61:65346,62:65346,63:65346,64:65346,65:65346,66:65346,67:65346,68:65346,69:65346,70:65346,71:65346,72:65346,73:65346,74:65346,75:65346,76:65346,77:65346,78:65346,79:65346"})</f>
        <v>Correlacao Mais recente 12 meses Em moeda orig Porto Seguro FIF RF Ref DI Créd Priv Resp Limitada</v>
      </c>
      <c r="Z1" t="str" cm="1">
        <f t="array" ref="Z1">_xll.ECONOMATICA(_xll.EcoRange(1,-25,26,-25),"Correlation","12M","LATEST",,,"ORIGINAL CURRENCY",,"false","true",,{"jtc.per=0";"std.tec.stt.bmk=0:132231,1:132231,2:132231,3:132231,4:132231,5:132231,6:132231,7:132231,";"std.tec.stt.bmk=8:132231,9:132231,10:132231,11:132231,12:132231,13:132231,14:132231,15:132231,16:132231,17:132231,18:132231,19:132231,20:132231,21:132231,22:132231,23:132231,24:132231,25:132231,26:132231,27:132231,28:132231,29:132231,30:132231,31:132231,3";"std.tec.stt.bmk=2:132231,33:132231,34:132231,35:132231,36:132231,37:132231,38:132231,39:132231,40:132231,41:132231,42:132231,43:132231,44:132231,45:132231,46:132231,47:132231,48:132231,49:132231,50:132231,51:132231,52:132231,53:132231,54:132231,55:132231,";"std.tec.stt.bmk=56:132231,57:132231,58:132231,59:132231,60:132231,61:132231,62:132231,63:132231,64:132231,65:132231,66:132231,67:132231,68:132231,69:132231,70:132231,71:132231,72:132231,73:132231,74:132231,75:132231,76:132231,77:132231,78:132231,79:132231"})</f>
        <v>Correlacao Mais recente 12 meses Em moeda orig Porto Seguro Ipê FIF da Cic RF Créd Priv LP Resp Limitada</v>
      </c>
      <c r="AA1" t="str" cm="1">
        <f t="array" ref="AA1">_xll.ECONOMATICA(_xll.EcoRange(1,-26,26,-26),"Correlation","12M","LATEST",,,"ORIGINAL CURRENCY",,"false","true",,{"jtc.per=0";"std.tec.stt.bmk=0:117256,1:117256,2:117256,3:117256,4:117256,5:117256,6:117256,7:117256,";"std.tec.stt.bmk=8:117256,9:117256,10:117256,11:117256,12:117256,13:117256,14:117256,15:117256,16:117256,17:117256,18:117256,19:117256,20:117256,21:117256,22:117256,23:117256,24:117256,25:117256,26:117256,27:117256,28:117256,29:117256,30:117256,31:117256,3";"std.tec.stt.bmk=2:117256,33:117256,34:117256,35:117256,36:117256,37:117256,38:117256,39:117256,40:117256,41:117256,42:117256,43:117256,44:117256,45:117256,46:117256,47:117256,48:117256,49:117256,50:117256,51:117256,52:117256,53:117256,54:117256,55:117256,";"std.tec.stt.bmk=56:117256,57:117256,58:117256,59:117256,60:117256,61:117256,62:117256,63:117256,64:117256,65:117256,66:117256,67:117256,68:117256,69:117256,70:117256,71:117256,72:117256,73:117256,74:117256,75:117256,76:117256,77:117256,78:117256,79:117256"})</f>
        <v>Correlacao Mais recente 12 meses Em moeda orig Sparta Max Advisory Fc FIF RF Cred Priv LP - Resp Limitada</v>
      </c>
      <c r="AB1" t="str" cm="1">
        <f t="array" ref="AB1">_xll.ECONOMATICA(_xll.EcoRange(1,-27,26,-27),"Correlation","12M","LATEST",,,"ORIGINAL CURRENCY",,"false","true",,{"jtc.per=0";"std.tec.stt.bmk=0:116980,1:116980,2:116980,3:116980,4:116980,5:116980,6:116980,7:116980,";"std.tec.stt.bmk=8:116980,9:116980,10:116980,11:116980,12:116980,13:116980,14:116980,15:116980,16:116980,17:116980,18:116980,19:116980,20:116980,21:116980,22:116980,23:116980,24:116980,25:116980,26:116980,27:116980,28:116980,29:116980,30:116980,31:116980,3";"std.tec.stt.bmk=2:116980,33:116980,34:116980,35:116980,36:116980,37:116980,38:116980,39:116980,40:116980,41:116980,42:116980,43:116980,44:116980,45:116980,46:116980,47:116980,48:116980,49:116980,50:116980,51:116980,52:116980,53:116980,54:116980,55:116980,";"std.tec.stt.bmk=56:116980,57:116980,58:116980,59:116980,60:116980,61:116980,62:116980,63:116980,64:116980,65:116980,66:116980,67:116980,68:116980,69:116980,70:116980,71:116980,72:116980,73:116980,74:116980,75:116980,76:116980,77:116980,78:116980,79:116980"})</f>
        <v>Correlacao Mais recente 12 meses Em moeda orig Sparta Top Adv Fc FI RF Cred Priv LP - Resp Limitada</v>
      </c>
    </row>
    <row r="2" spans="1:28" x14ac:dyDescent="0.25">
      <c r="A2" t="s">
        <v>44</v>
      </c>
      <c r="B2" t="s">
        <v>120</v>
      </c>
      <c r="C2">
        <v>1</v>
      </c>
      <c r="D2">
        <v>0.80660057122999995</v>
      </c>
      <c r="E2">
        <v>0.86557442398999995</v>
      </c>
      <c r="F2">
        <v>0.30936012522</v>
      </c>
      <c r="G2">
        <v>0.11717329122</v>
      </c>
      <c r="H2">
        <v>0.17470048422000001</v>
      </c>
      <c r="I2">
        <v>0.12264259823</v>
      </c>
      <c r="J2">
        <v>5.1435473151E-2</v>
      </c>
      <c r="K2">
        <v>8.3672675059000001E-2</v>
      </c>
      <c r="L2">
        <v>8.3464113497999995E-2</v>
      </c>
      <c r="M2">
        <v>7.5141071035999998E-2</v>
      </c>
      <c r="N2">
        <v>2.264202354E-2</v>
      </c>
      <c r="O2">
        <v>0.32688933648000001</v>
      </c>
      <c r="P2">
        <v>8.8196584371999995E-2</v>
      </c>
      <c r="Q2">
        <v>0.23920471147</v>
      </c>
      <c r="R2">
        <v>0.50019883604000004</v>
      </c>
      <c r="S2">
        <v>0.51505891968999995</v>
      </c>
      <c r="T2">
        <v>0.43014030044000001</v>
      </c>
      <c r="U2">
        <v>0.17575852086999999</v>
      </c>
      <c r="V2">
        <v>7.2928152602999997E-3</v>
      </c>
      <c r="W2">
        <v>0.39378253698999999</v>
      </c>
      <c r="X2">
        <v>0.11839404556999999</v>
      </c>
      <c r="Y2">
        <v>0.20445601596999999</v>
      </c>
      <c r="Z2">
        <v>0.45339477251999999</v>
      </c>
      <c r="AA2">
        <v>3.3804047807999997E-2</v>
      </c>
      <c r="AB2">
        <v>7.0134818577000005E-2</v>
      </c>
    </row>
    <row r="3" spans="1:28" x14ac:dyDescent="0.25">
      <c r="A3" t="s">
        <v>45</v>
      </c>
      <c r="B3" t="s">
        <v>132</v>
      </c>
      <c r="C3">
        <v>0.80660057122999995</v>
      </c>
      <c r="D3">
        <v>1</v>
      </c>
      <c r="E3">
        <v>0.91799651028999996</v>
      </c>
      <c r="F3">
        <v>0.24077845227</v>
      </c>
      <c r="G3">
        <v>3.3221822614000002E-2</v>
      </c>
      <c r="H3">
        <v>5.7506897978000002E-2</v>
      </c>
      <c r="I3">
        <v>-4.6931958964999999E-2</v>
      </c>
      <c r="J3">
        <v>6.5493193464000003E-3</v>
      </c>
      <c r="K3">
        <v>5.0991616577E-2</v>
      </c>
      <c r="L3">
        <v>2.8904915754000001E-2</v>
      </c>
      <c r="M3">
        <v>-5.3501093432000001E-3</v>
      </c>
      <c r="N3">
        <v>-3.4782461982000003E-2</v>
      </c>
      <c r="O3">
        <v>0.17140829120000001</v>
      </c>
      <c r="P3">
        <v>-5.3974840679E-3</v>
      </c>
      <c r="Q3">
        <v>7.7612613706999997E-2</v>
      </c>
      <c r="R3">
        <v>0.47335686417</v>
      </c>
      <c r="S3">
        <v>0.50058456366000004</v>
      </c>
      <c r="T3">
        <v>0.40873459272000001</v>
      </c>
      <c r="U3">
        <v>0.16978913937000001</v>
      </c>
      <c r="V3">
        <v>1.1630725283E-2</v>
      </c>
      <c r="W3">
        <v>0.27210003518999998</v>
      </c>
      <c r="X3">
        <v>7.5436954072999995E-2</v>
      </c>
      <c r="Y3">
        <v>8.6732904511999998E-2</v>
      </c>
      <c r="Z3">
        <v>0.26450098562000002</v>
      </c>
      <c r="AA3">
        <v>7.8810478495999994E-2</v>
      </c>
      <c r="AB3">
        <v>9.4513810170000004E-2</v>
      </c>
    </row>
    <row r="4" spans="1:28" x14ac:dyDescent="0.25">
      <c r="A4" t="s">
        <v>46</v>
      </c>
      <c r="B4" t="s">
        <v>64</v>
      </c>
      <c r="C4">
        <v>0.86557442398999995</v>
      </c>
      <c r="D4">
        <v>0.91799651028999996</v>
      </c>
      <c r="E4">
        <v>1</v>
      </c>
      <c r="F4">
        <v>0.22598784870999999</v>
      </c>
      <c r="G4">
        <v>8.7303385309999995E-2</v>
      </c>
      <c r="H4">
        <v>0.13279622830999999</v>
      </c>
      <c r="I4">
        <v>3.1033904785999999E-2</v>
      </c>
      <c r="J4">
        <v>5.5816486702999997E-2</v>
      </c>
      <c r="K4">
        <v>9.4052928474E-2</v>
      </c>
      <c r="L4">
        <v>7.7938592170000001E-2</v>
      </c>
      <c r="M4">
        <v>5.6631130809999999E-2</v>
      </c>
      <c r="N4">
        <v>1.3461238318E-2</v>
      </c>
      <c r="O4">
        <v>0.25749886231000002</v>
      </c>
      <c r="P4">
        <v>8.8512401912999999E-2</v>
      </c>
      <c r="Q4">
        <v>0.20887011412000001</v>
      </c>
      <c r="R4">
        <v>0.56056085320000004</v>
      </c>
      <c r="S4">
        <v>0.59265757333000002</v>
      </c>
      <c r="T4">
        <v>0.45771662210000003</v>
      </c>
      <c r="U4">
        <v>0.21653841381</v>
      </c>
      <c r="V4">
        <v>2.3705387620999999E-2</v>
      </c>
      <c r="W4">
        <v>0.39081080220999997</v>
      </c>
      <c r="X4">
        <v>0.12331970725999999</v>
      </c>
      <c r="Y4">
        <v>0.15865222897</v>
      </c>
      <c r="Z4">
        <v>0.3789623412</v>
      </c>
      <c r="AA4">
        <v>0.10369879419</v>
      </c>
      <c r="AB4">
        <v>0.1220309368</v>
      </c>
    </row>
    <row r="5" spans="1:28" x14ac:dyDescent="0.25">
      <c r="A5" t="s">
        <v>19</v>
      </c>
      <c r="B5" t="s">
        <v>27</v>
      </c>
      <c r="C5">
        <v>0.30936012522</v>
      </c>
      <c r="D5">
        <v>0.24077845227</v>
      </c>
      <c r="E5">
        <v>0.22598784870999999</v>
      </c>
      <c r="F5">
        <v>1</v>
      </c>
      <c r="G5">
        <v>-3.8735133038000002E-3</v>
      </c>
      <c r="H5">
        <v>-8.8875867286999997E-4</v>
      </c>
      <c r="I5">
        <v>7.6105460466999999E-3</v>
      </c>
      <c r="J5">
        <v>0.23137622082000001</v>
      </c>
      <c r="K5">
        <v>0.15293292620999999</v>
      </c>
      <c r="L5">
        <v>0.23417922458000001</v>
      </c>
      <c r="M5">
        <v>3.8473755792999997E-2</v>
      </c>
      <c r="N5">
        <v>6.5765606690000006E-2</v>
      </c>
      <c r="O5">
        <v>7.3117674817999995E-2</v>
      </c>
      <c r="P5">
        <v>-5.1218920288E-2</v>
      </c>
      <c r="Q5">
        <v>-5.5498657520000001E-2</v>
      </c>
      <c r="R5">
        <v>0.27937983246999998</v>
      </c>
      <c r="S5">
        <v>0.34516234154999997</v>
      </c>
      <c r="T5">
        <v>0.25347102748</v>
      </c>
      <c r="U5">
        <v>5.3381603202999998E-2</v>
      </c>
      <c r="V5">
        <v>-9.9549415262999999E-2</v>
      </c>
      <c r="W5">
        <v>0.12530840889</v>
      </c>
      <c r="X5">
        <v>0.16967605368999999</v>
      </c>
      <c r="Y5">
        <v>-1.0955785762E-2</v>
      </c>
      <c r="Z5">
        <v>1.405426144E-2</v>
      </c>
      <c r="AA5">
        <v>6.6692586966E-2</v>
      </c>
      <c r="AB5">
        <v>4.5666972064E-2</v>
      </c>
    </row>
    <row r="6" spans="1:28" x14ac:dyDescent="0.25">
      <c r="A6" t="s">
        <v>47</v>
      </c>
      <c r="B6" t="s">
        <v>123</v>
      </c>
      <c r="C6">
        <v>0.11717329122</v>
      </c>
      <c r="D6">
        <v>3.3221822614000002E-2</v>
      </c>
      <c r="E6">
        <v>8.7303385309999995E-2</v>
      </c>
      <c r="F6">
        <v>-3.8735133038000002E-3</v>
      </c>
      <c r="G6">
        <v>1</v>
      </c>
      <c r="H6">
        <v>0.94246151314000004</v>
      </c>
      <c r="I6">
        <v>0.59634360981000001</v>
      </c>
      <c r="J6">
        <v>7.7544847851000007E-2</v>
      </c>
      <c r="K6">
        <v>4.6949027301E-2</v>
      </c>
      <c r="L6">
        <v>6.3685688091999995E-2</v>
      </c>
      <c r="M6">
        <v>4.1976161752000002E-2</v>
      </c>
      <c r="N6">
        <v>1.5833453623999998E-2</v>
      </c>
      <c r="O6">
        <v>0.17882173543999999</v>
      </c>
      <c r="P6">
        <v>0.19937567808000001</v>
      </c>
      <c r="Q6">
        <v>0.27767777662999998</v>
      </c>
      <c r="R6">
        <v>2.8529201938000001E-2</v>
      </c>
      <c r="S6">
        <v>-1.0509668186E-2</v>
      </c>
      <c r="T6">
        <v>3.7812621646999998E-3</v>
      </c>
      <c r="U6">
        <v>2.9056014989000001E-2</v>
      </c>
      <c r="V6">
        <v>1.6275949341999999E-2</v>
      </c>
      <c r="W6">
        <v>0.24212751163999999</v>
      </c>
      <c r="X6">
        <v>0.14333458918</v>
      </c>
      <c r="Y6">
        <v>9.5733954750999994E-2</v>
      </c>
      <c r="Z6">
        <v>0.2004478535</v>
      </c>
      <c r="AA6">
        <v>0.14869539212999999</v>
      </c>
      <c r="AB6">
        <v>0.16134596302000001</v>
      </c>
    </row>
    <row r="7" spans="1:28" x14ac:dyDescent="0.25">
      <c r="A7" t="s">
        <v>48</v>
      </c>
      <c r="B7" t="s">
        <v>121</v>
      </c>
      <c r="C7">
        <v>0.17470048422000001</v>
      </c>
      <c r="D7">
        <v>5.7506897978000002E-2</v>
      </c>
      <c r="E7">
        <v>0.13279622830999999</v>
      </c>
      <c r="F7">
        <v>-8.8875867286999997E-4</v>
      </c>
      <c r="G7">
        <v>0.94246151314000004</v>
      </c>
      <c r="H7">
        <v>1</v>
      </c>
      <c r="I7">
        <v>0.65863418646000005</v>
      </c>
      <c r="J7">
        <v>8.6211790541000005E-2</v>
      </c>
      <c r="K7">
        <v>5.0288898866999998E-2</v>
      </c>
      <c r="L7">
        <v>7.0308478029999996E-2</v>
      </c>
      <c r="M7">
        <v>0.10417812479000001</v>
      </c>
      <c r="N7">
        <v>5.3055291471E-2</v>
      </c>
      <c r="O7">
        <v>0.22242580778000001</v>
      </c>
      <c r="P7">
        <v>0.25964193586000001</v>
      </c>
      <c r="Q7">
        <v>0.39680986586</v>
      </c>
      <c r="R7">
        <v>7.6313203630999998E-2</v>
      </c>
      <c r="S7">
        <v>6.5975506130000004E-3</v>
      </c>
      <c r="T7">
        <v>1.2833405682999999E-2</v>
      </c>
      <c r="U7">
        <v>8.0108526045000003E-2</v>
      </c>
      <c r="V7">
        <v>4.8368530053E-2</v>
      </c>
      <c r="W7">
        <v>0.33680342658000001</v>
      </c>
      <c r="X7">
        <v>0.14660268335000001</v>
      </c>
      <c r="Y7">
        <v>0.15074793447000001</v>
      </c>
      <c r="Z7">
        <v>0.31264151877000002</v>
      </c>
      <c r="AA7">
        <v>0.17875397023</v>
      </c>
      <c r="AB7">
        <v>0.20076020657999999</v>
      </c>
    </row>
    <row r="8" spans="1:28" x14ac:dyDescent="0.25">
      <c r="A8" t="s">
        <v>49</v>
      </c>
      <c r="B8" t="s">
        <v>65</v>
      </c>
      <c r="C8">
        <v>0.12264259823</v>
      </c>
      <c r="D8">
        <v>-4.6931958964999999E-2</v>
      </c>
      <c r="E8">
        <v>3.1033904785999999E-2</v>
      </c>
      <c r="F8">
        <v>7.6105460466999999E-3</v>
      </c>
      <c r="G8">
        <v>0.59634360981000001</v>
      </c>
      <c r="H8">
        <v>0.65863418646000005</v>
      </c>
      <c r="I8">
        <v>1</v>
      </c>
      <c r="J8">
        <v>0.11890789457000001</v>
      </c>
      <c r="K8">
        <v>5.9485705484E-2</v>
      </c>
      <c r="L8">
        <v>8.8274222784999995E-2</v>
      </c>
      <c r="M8">
        <v>0.17465303608999999</v>
      </c>
      <c r="N8">
        <v>0.1223990693</v>
      </c>
      <c r="O8">
        <v>0.27183203626000002</v>
      </c>
      <c r="P8">
        <v>0.17326414395</v>
      </c>
      <c r="Q8">
        <v>0.34859837506000002</v>
      </c>
      <c r="R8">
        <v>1.4365082743E-2</v>
      </c>
      <c r="S8">
        <v>-1.1091878305E-2</v>
      </c>
      <c r="T8">
        <v>-3.5955122213999998E-3</v>
      </c>
      <c r="U8">
        <v>0.15009888985</v>
      </c>
      <c r="V8">
        <v>-1.2036189992E-2</v>
      </c>
      <c r="W8">
        <v>0.26398323356999998</v>
      </c>
      <c r="X8">
        <v>0.19281637959</v>
      </c>
      <c r="Y8">
        <v>5.8234003463999998E-2</v>
      </c>
      <c r="Z8">
        <v>0.22021472219999999</v>
      </c>
      <c r="AA8">
        <v>0.13707993549</v>
      </c>
      <c r="AB8">
        <v>0.15347430389</v>
      </c>
    </row>
    <row r="9" spans="1:28" x14ac:dyDescent="0.25">
      <c r="A9" t="s">
        <v>20</v>
      </c>
      <c r="B9" t="s">
        <v>28</v>
      </c>
      <c r="C9">
        <v>5.1435473151E-2</v>
      </c>
      <c r="D9">
        <v>6.5493193464000003E-3</v>
      </c>
      <c r="E9">
        <v>5.5816486702999997E-2</v>
      </c>
      <c r="F9">
        <v>0.23137622082000001</v>
      </c>
      <c r="G9">
        <v>7.7544847851000007E-2</v>
      </c>
      <c r="H9">
        <v>8.6211790541000005E-2</v>
      </c>
      <c r="I9">
        <v>0.11890789457000001</v>
      </c>
      <c r="J9">
        <v>1</v>
      </c>
      <c r="K9">
        <v>0.68662130330000004</v>
      </c>
      <c r="L9">
        <v>0.77396936713999998</v>
      </c>
      <c r="M9">
        <v>9.0689795633000003E-2</v>
      </c>
      <c r="N9">
        <v>7.1674814138999995E-2</v>
      </c>
      <c r="O9">
        <v>0.12259399409000001</v>
      </c>
      <c r="P9">
        <v>0.16671512041</v>
      </c>
      <c r="Q9">
        <v>0.16738040010999999</v>
      </c>
      <c r="R9">
        <v>4.9055472635999998E-2</v>
      </c>
      <c r="S9">
        <v>0.20334097227</v>
      </c>
      <c r="T9">
        <v>0.23302661190999999</v>
      </c>
      <c r="U9">
        <v>0.18786724515</v>
      </c>
      <c r="V9">
        <v>5.2228881956999998E-2</v>
      </c>
      <c r="W9">
        <v>0.17152562716</v>
      </c>
      <c r="X9">
        <v>0.11871625806</v>
      </c>
      <c r="Y9">
        <v>9.8063344986000001E-2</v>
      </c>
      <c r="Z9">
        <v>0.18263271059</v>
      </c>
      <c r="AA9">
        <v>0.17371535600999999</v>
      </c>
      <c r="AB9">
        <v>0.18780982267999999</v>
      </c>
    </row>
    <row r="10" spans="1:28" x14ac:dyDescent="0.25">
      <c r="A10" t="s">
        <v>21</v>
      </c>
      <c r="B10" t="s">
        <v>133</v>
      </c>
      <c r="C10">
        <v>8.3672675059000001E-2</v>
      </c>
      <c r="D10">
        <v>5.0991616577E-2</v>
      </c>
      <c r="E10">
        <v>9.4052928474E-2</v>
      </c>
      <c r="F10">
        <v>0.15293292620999999</v>
      </c>
      <c r="G10">
        <v>4.6949027301E-2</v>
      </c>
      <c r="H10">
        <v>5.0288898866999998E-2</v>
      </c>
      <c r="I10">
        <v>5.9485705484E-2</v>
      </c>
      <c r="J10">
        <v>0.68662130330000004</v>
      </c>
      <c r="K10">
        <v>1</v>
      </c>
      <c r="L10">
        <v>0.94366056061000003</v>
      </c>
      <c r="M10">
        <v>9.1189788366999994E-2</v>
      </c>
      <c r="N10">
        <v>6.8676438573000001E-2</v>
      </c>
      <c r="O10">
        <v>0.18845282866999999</v>
      </c>
      <c r="P10">
        <v>6.9357864428999993E-2</v>
      </c>
      <c r="Q10">
        <v>0.10381082505</v>
      </c>
      <c r="R10">
        <v>8.3848517617000004E-2</v>
      </c>
      <c r="S10">
        <v>0.18097875016000001</v>
      </c>
      <c r="T10">
        <v>0.24790338570000001</v>
      </c>
      <c r="U10">
        <v>0.26250908882000001</v>
      </c>
      <c r="V10">
        <v>5.8602526681000001E-2</v>
      </c>
      <c r="W10">
        <v>0.15218253991</v>
      </c>
      <c r="X10">
        <v>0.14895775791999999</v>
      </c>
      <c r="Y10">
        <v>-8.4262846877000003E-3</v>
      </c>
      <c r="Z10">
        <v>6.3675283718999998E-2</v>
      </c>
      <c r="AA10">
        <v>0.23359119443000001</v>
      </c>
      <c r="AB10">
        <v>0.25542949996999997</v>
      </c>
    </row>
    <row r="11" spans="1:28" x14ac:dyDescent="0.25">
      <c r="A11" t="s">
        <v>16</v>
      </c>
      <c r="B11" t="s">
        <v>134</v>
      </c>
      <c r="C11">
        <v>8.3464113497999995E-2</v>
      </c>
      <c r="D11">
        <v>2.8904915754000001E-2</v>
      </c>
      <c r="E11">
        <v>7.7938592170000001E-2</v>
      </c>
      <c r="F11">
        <v>0.23417922458000001</v>
      </c>
      <c r="G11">
        <v>6.3685688091999995E-2</v>
      </c>
      <c r="H11">
        <v>7.0308478029999996E-2</v>
      </c>
      <c r="I11">
        <v>8.8274222784999995E-2</v>
      </c>
      <c r="J11">
        <v>0.77396936713999998</v>
      </c>
      <c r="K11">
        <v>0.94366056061000003</v>
      </c>
      <c r="L11">
        <v>1</v>
      </c>
      <c r="M11">
        <v>0.12918220403</v>
      </c>
      <c r="N11">
        <v>9.3933599441000007E-2</v>
      </c>
      <c r="O11">
        <v>0.19655993992000001</v>
      </c>
      <c r="P11">
        <v>0.11817354053</v>
      </c>
      <c r="Q11">
        <v>0.13882349466999999</v>
      </c>
      <c r="R11">
        <v>9.8933464624000003E-2</v>
      </c>
      <c r="S11">
        <v>0.24069293639</v>
      </c>
      <c r="T11">
        <v>0.28042962400999999</v>
      </c>
      <c r="U11">
        <v>0.23842802042</v>
      </c>
      <c r="V11">
        <v>6.5510280022000003E-2</v>
      </c>
      <c r="W11">
        <v>0.15309493308</v>
      </c>
      <c r="X11">
        <v>0.18033062195999999</v>
      </c>
      <c r="Y11">
        <v>1.0084241084E-2</v>
      </c>
      <c r="Z11">
        <v>8.1270126127000006E-2</v>
      </c>
      <c r="AA11">
        <v>0.23218611058999999</v>
      </c>
      <c r="AB11">
        <v>0.25207874699999999</v>
      </c>
    </row>
    <row r="12" spans="1:28" x14ac:dyDescent="0.25">
      <c r="A12" t="s">
        <v>22</v>
      </c>
      <c r="B12" t="s">
        <v>29</v>
      </c>
      <c r="C12">
        <v>7.5141071035999998E-2</v>
      </c>
      <c r="D12">
        <v>-5.3501093432000001E-3</v>
      </c>
      <c r="E12">
        <v>5.6631130809999999E-2</v>
      </c>
      <c r="F12">
        <v>3.8473755792999997E-2</v>
      </c>
      <c r="G12">
        <v>4.1976161752000002E-2</v>
      </c>
      <c r="H12">
        <v>0.10417812479000001</v>
      </c>
      <c r="I12">
        <v>0.17465303608999999</v>
      </c>
      <c r="J12">
        <v>9.0689795633000003E-2</v>
      </c>
      <c r="K12">
        <v>9.1189788366999994E-2</v>
      </c>
      <c r="L12">
        <v>0.12918220403</v>
      </c>
      <c r="M12">
        <v>1</v>
      </c>
      <c r="N12">
        <v>0.92255090804999995</v>
      </c>
      <c r="O12">
        <v>6.6690866852E-2</v>
      </c>
      <c r="P12">
        <v>0.27219033789000002</v>
      </c>
      <c r="Q12">
        <v>0.23894355371000001</v>
      </c>
      <c r="R12">
        <v>0.12529228596</v>
      </c>
      <c r="S12">
        <v>5.9903748626000002E-2</v>
      </c>
      <c r="T12">
        <v>3.8011828578999998E-2</v>
      </c>
      <c r="U12">
        <v>0.13015922178</v>
      </c>
      <c r="V12">
        <v>6.6638732835000006E-2</v>
      </c>
      <c r="W12">
        <v>0.11281390292</v>
      </c>
      <c r="X12">
        <v>9.0664246786999997E-2</v>
      </c>
      <c r="Y12">
        <v>3.6571077458999998E-2</v>
      </c>
      <c r="Z12">
        <v>0.11008855443</v>
      </c>
      <c r="AA12">
        <v>0.14561893542000001</v>
      </c>
      <c r="AB12">
        <v>0.17452377839</v>
      </c>
    </row>
    <row r="13" spans="1:28" x14ac:dyDescent="0.25">
      <c r="A13" t="s">
        <v>23</v>
      </c>
      <c r="B13" t="s">
        <v>30</v>
      </c>
      <c r="C13">
        <v>2.264202354E-2</v>
      </c>
      <c r="D13">
        <v>-3.4782461982000003E-2</v>
      </c>
      <c r="E13">
        <v>1.3461238318E-2</v>
      </c>
      <c r="F13">
        <v>6.5765606690000006E-2</v>
      </c>
      <c r="G13">
        <v>1.5833453623999998E-2</v>
      </c>
      <c r="H13">
        <v>5.3055291471E-2</v>
      </c>
      <c r="I13">
        <v>0.1223990693</v>
      </c>
      <c r="J13">
        <v>7.1674814138999995E-2</v>
      </c>
      <c r="K13">
        <v>6.8676438573000001E-2</v>
      </c>
      <c r="L13">
        <v>9.3933599441000007E-2</v>
      </c>
      <c r="M13">
        <v>0.92255090804999995</v>
      </c>
      <c r="N13">
        <v>1</v>
      </c>
      <c r="O13">
        <v>-2.3151257016000001E-2</v>
      </c>
      <c r="P13">
        <v>0.21772654009</v>
      </c>
      <c r="Q13">
        <v>0.14851732561</v>
      </c>
      <c r="R13">
        <v>7.5447370412000003E-2</v>
      </c>
      <c r="S13">
        <v>2.6872265297999999E-2</v>
      </c>
      <c r="T13">
        <v>8.3195727420000004E-3</v>
      </c>
      <c r="U13">
        <v>5.7039198404999998E-2</v>
      </c>
      <c r="V13">
        <v>5.5718199115999997E-2</v>
      </c>
      <c r="W13">
        <v>5.6531409336000003E-2</v>
      </c>
      <c r="X13">
        <v>6.1709623771999997E-2</v>
      </c>
      <c r="Y13">
        <v>1.3282562428E-2</v>
      </c>
      <c r="Z13">
        <v>9.4375039376000003E-2</v>
      </c>
      <c r="AA13">
        <v>0.10306146768</v>
      </c>
      <c r="AB13">
        <v>0.11686733684</v>
      </c>
    </row>
    <row r="14" spans="1:28" x14ac:dyDescent="0.25">
      <c r="A14" t="s">
        <v>50</v>
      </c>
      <c r="B14" t="s">
        <v>124</v>
      </c>
      <c r="C14">
        <v>0.32688933648000001</v>
      </c>
      <c r="D14">
        <v>0.17140829120000001</v>
      </c>
      <c r="E14">
        <v>0.25749886231000002</v>
      </c>
      <c r="F14">
        <v>7.3117674817999995E-2</v>
      </c>
      <c r="G14">
        <v>0.17882173543999999</v>
      </c>
      <c r="H14">
        <v>0.22242580778000001</v>
      </c>
      <c r="I14">
        <v>0.27183203626000002</v>
      </c>
      <c r="J14">
        <v>0.12259399409000001</v>
      </c>
      <c r="K14">
        <v>0.18845282866999999</v>
      </c>
      <c r="L14">
        <v>0.19655993992000001</v>
      </c>
      <c r="M14">
        <v>6.6690866852E-2</v>
      </c>
      <c r="N14">
        <v>-2.3151257016000001E-2</v>
      </c>
      <c r="O14">
        <v>1</v>
      </c>
      <c r="P14">
        <v>0.21771923005999999</v>
      </c>
      <c r="Q14">
        <v>0.32648597924</v>
      </c>
      <c r="R14">
        <v>0.20862095169</v>
      </c>
      <c r="S14">
        <v>0.18858001721000001</v>
      </c>
      <c r="T14">
        <v>0.15269322469999999</v>
      </c>
      <c r="U14">
        <v>0.17398033396000001</v>
      </c>
      <c r="V14">
        <v>0.10941666260000001</v>
      </c>
      <c r="W14">
        <v>0.23402241692</v>
      </c>
      <c r="X14">
        <v>5.0694986299000003E-2</v>
      </c>
      <c r="Y14">
        <v>0.17126149649</v>
      </c>
      <c r="Z14">
        <v>0.31175297439999999</v>
      </c>
      <c r="AA14">
        <v>0.1108632204</v>
      </c>
      <c r="AB14">
        <v>0.13540432459000001</v>
      </c>
    </row>
    <row r="15" spans="1:28" x14ac:dyDescent="0.25">
      <c r="A15" t="s">
        <v>51</v>
      </c>
      <c r="B15" t="s">
        <v>125</v>
      </c>
      <c r="C15">
        <v>8.8196584371999995E-2</v>
      </c>
      <c r="D15">
        <v>-5.3974840679E-3</v>
      </c>
      <c r="E15">
        <v>8.8512401912999999E-2</v>
      </c>
      <c r="F15">
        <v>-5.1218920288E-2</v>
      </c>
      <c r="G15">
        <v>0.19937567808000001</v>
      </c>
      <c r="H15">
        <v>0.25964193586000001</v>
      </c>
      <c r="I15">
        <v>0.17326414395</v>
      </c>
      <c r="J15">
        <v>0.16671512041</v>
      </c>
      <c r="K15">
        <v>6.9357864428999993E-2</v>
      </c>
      <c r="L15">
        <v>0.11817354053</v>
      </c>
      <c r="M15">
        <v>0.27219033789000002</v>
      </c>
      <c r="N15">
        <v>0.21772654009</v>
      </c>
      <c r="O15">
        <v>0.21771923005999999</v>
      </c>
      <c r="P15">
        <v>1</v>
      </c>
      <c r="Q15">
        <v>0.57770413314000002</v>
      </c>
      <c r="R15">
        <v>5.5444993682000003E-2</v>
      </c>
      <c r="S15">
        <v>3.4915611462999999E-2</v>
      </c>
      <c r="T15">
        <v>6.1033182787999997E-2</v>
      </c>
      <c r="U15">
        <v>0.13993668503000001</v>
      </c>
      <c r="V15">
        <v>0.30023784911000001</v>
      </c>
      <c r="W15">
        <v>0.29512624143999999</v>
      </c>
      <c r="X15">
        <v>0.17453736731</v>
      </c>
      <c r="Y15">
        <v>0.30439566634999998</v>
      </c>
      <c r="Z15">
        <v>0.34179403666000002</v>
      </c>
      <c r="AA15">
        <v>0.21161487144999999</v>
      </c>
      <c r="AB15">
        <v>0.24537239679</v>
      </c>
    </row>
    <row r="16" spans="1:28" x14ac:dyDescent="0.25">
      <c r="A16" t="s">
        <v>52</v>
      </c>
      <c r="B16" t="s">
        <v>135</v>
      </c>
      <c r="C16">
        <v>0.23920471147</v>
      </c>
      <c r="D16">
        <v>7.7612613706999997E-2</v>
      </c>
      <c r="E16">
        <v>0.20887011412000001</v>
      </c>
      <c r="F16">
        <v>-5.5498657520000001E-2</v>
      </c>
      <c r="G16">
        <v>0.27767777662999998</v>
      </c>
      <c r="H16">
        <v>0.39680986586</v>
      </c>
      <c r="I16">
        <v>0.34859837506000002</v>
      </c>
      <c r="J16">
        <v>0.16738040010999999</v>
      </c>
      <c r="K16">
        <v>0.10381082505</v>
      </c>
      <c r="L16">
        <v>0.13882349466999999</v>
      </c>
      <c r="M16">
        <v>0.23894355371000001</v>
      </c>
      <c r="N16">
        <v>0.14851732561</v>
      </c>
      <c r="O16">
        <v>0.32648597924</v>
      </c>
      <c r="P16">
        <v>0.57770413314000002</v>
      </c>
      <c r="Q16">
        <v>1</v>
      </c>
      <c r="R16">
        <v>0.18857735344000001</v>
      </c>
      <c r="S16">
        <v>0.10229957832</v>
      </c>
      <c r="T16">
        <v>8.4679409876999998E-2</v>
      </c>
      <c r="U16">
        <v>0.22305723129999999</v>
      </c>
      <c r="V16">
        <v>0.22679491359000001</v>
      </c>
      <c r="W16">
        <v>0.69061978930000001</v>
      </c>
      <c r="X16">
        <v>0.31809788896000002</v>
      </c>
      <c r="Y16">
        <v>0.15207405901000001</v>
      </c>
      <c r="Z16">
        <v>0.47555634863000001</v>
      </c>
      <c r="AA16">
        <v>0.18482394998000001</v>
      </c>
      <c r="AB16">
        <v>0.24409376187000001</v>
      </c>
    </row>
    <row r="17" spans="1:28" x14ac:dyDescent="0.25">
      <c r="A17" t="s">
        <v>24</v>
      </c>
      <c r="B17" t="s">
        <v>136</v>
      </c>
      <c r="C17">
        <v>0.50019883604000004</v>
      </c>
      <c r="D17">
        <v>0.47335686417</v>
      </c>
      <c r="E17">
        <v>0.56056085320000004</v>
      </c>
      <c r="F17">
        <v>0.27937983246999998</v>
      </c>
      <c r="G17">
        <v>2.8529201938000001E-2</v>
      </c>
      <c r="H17">
        <v>7.6313203630999998E-2</v>
      </c>
      <c r="I17">
        <v>1.4365082743E-2</v>
      </c>
      <c r="J17">
        <v>4.9055472635999998E-2</v>
      </c>
      <c r="K17">
        <v>8.3848517617000004E-2</v>
      </c>
      <c r="L17">
        <v>9.8933464624000003E-2</v>
      </c>
      <c r="M17">
        <v>0.12529228596</v>
      </c>
      <c r="N17">
        <v>7.5447370412000003E-2</v>
      </c>
      <c r="O17">
        <v>0.20862095169</v>
      </c>
      <c r="P17">
        <v>5.5444993682000003E-2</v>
      </c>
      <c r="Q17">
        <v>0.18857735344000001</v>
      </c>
      <c r="R17">
        <v>1</v>
      </c>
      <c r="S17">
        <v>0.73818647363000001</v>
      </c>
      <c r="T17">
        <v>0.53546003852000001</v>
      </c>
      <c r="U17">
        <v>8.0151759579000004E-2</v>
      </c>
      <c r="V17">
        <v>-1.20084122E-3</v>
      </c>
      <c r="W17">
        <v>0.42394211456999997</v>
      </c>
      <c r="X17">
        <v>0.24325859803</v>
      </c>
      <c r="Y17">
        <v>0.18556996335000001</v>
      </c>
      <c r="Z17">
        <v>0.21101144185000001</v>
      </c>
      <c r="AA17">
        <v>0.10278196829</v>
      </c>
      <c r="AB17">
        <v>0.11267343448</v>
      </c>
    </row>
    <row r="18" spans="1:28" x14ac:dyDescent="0.25">
      <c r="A18" t="s">
        <v>25</v>
      </c>
      <c r="B18" t="s">
        <v>137</v>
      </c>
      <c r="C18">
        <v>0.51505891968999995</v>
      </c>
      <c r="D18">
        <v>0.50058456366000004</v>
      </c>
      <c r="E18">
        <v>0.59265757333000002</v>
      </c>
      <c r="F18">
        <v>0.34516234154999997</v>
      </c>
      <c r="G18">
        <v>-1.0509668186E-2</v>
      </c>
      <c r="H18">
        <v>6.5975506130000004E-3</v>
      </c>
      <c r="I18">
        <v>-1.1091878305E-2</v>
      </c>
      <c r="J18">
        <v>0.20334097227</v>
      </c>
      <c r="K18">
        <v>0.18097875016000001</v>
      </c>
      <c r="L18">
        <v>0.24069293639</v>
      </c>
      <c r="M18">
        <v>5.9903748626000002E-2</v>
      </c>
      <c r="N18">
        <v>2.6872265297999999E-2</v>
      </c>
      <c r="O18">
        <v>0.18858001721000001</v>
      </c>
      <c r="P18">
        <v>3.4915611462999999E-2</v>
      </c>
      <c r="Q18">
        <v>0.10229957832</v>
      </c>
      <c r="R18">
        <v>0.73818647363000001</v>
      </c>
      <c r="S18">
        <v>1</v>
      </c>
      <c r="T18">
        <v>0.82618791286000004</v>
      </c>
      <c r="U18">
        <v>0.14455718380999999</v>
      </c>
      <c r="V18">
        <v>-2.7492845403E-2</v>
      </c>
      <c r="W18">
        <v>0.33619877473999998</v>
      </c>
      <c r="X18">
        <v>0.19014879886</v>
      </c>
      <c r="Y18">
        <v>7.6093120596E-2</v>
      </c>
      <c r="Z18">
        <v>0.13603934711999999</v>
      </c>
      <c r="AA18">
        <v>6.4128014100999997E-2</v>
      </c>
      <c r="AB18">
        <v>5.9355987691999998E-2</v>
      </c>
    </row>
    <row r="19" spans="1:28" x14ac:dyDescent="0.25">
      <c r="A19" t="s">
        <v>53</v>
      </c>
      <c r="B19" t="s">
        <v>138</v>
      </c>
      <c r="C19">
        <v>0.43014030044000001</v>
      </c>
      <c r="D19">
        <v>0.40873459272000001</v>
      </c>
      <c r="E19">
        <v>0.45771662210000003</v>
      </c>
      <c r="F19">
        <v>0.25347102748</v>
      </c>
      <c r="G19">
        <v>3.7812621646999998E-3</v>
      </c>
      <c r="H19">
        <v>1.2833405682999999E-2</v>
      </c>
      <c r="I19">
        <v>-3.5955122213999998E-3</v>
      </c>
      <c r="J19">
        <v>0.23302661190999999</v>
      </c>
      <c r="K19">
        <v>0.24790338570000001</v>
      </c>
      <c r="L19">
        <v>0.28042962400999999</v>
      </c>
      <c r="M19">
        <v>3.8011828578999998E-2</v>
      </c>
      <c r="N19">
        <v>8.3195727420000004E-3</v>
      </c>
      <c r="O19">
        <v>0.15269322469999999</v>
      </c>
      <c r="P19">
        <v>6.1033182787999997E-2</v>
      </c>
      <c r="Q19">
        <v>8.4679409876999998E-2</v>
      </c>
      <c r="R19">
        <v>0.53546003852000001</v>
      </c>
      <c r="S19">
        <v>0.82618791286000004</v>
      </c>
      <c r="T19">
        <v>1</v>
      </c>
      <c r="U19">
        <v>0.13971061134000001</v>
      </c>
      <c r="V19">
        <v>-2.5544478911999999E-2</v>
      </c>
      <c r="W19">
        <v>0.24584999236999999</v>
      </c>
      <c r="X19">
        <v>0.15526866148999999</v>
      </c>
      <c r="Y19">
        <v>0.11014130472</v>
      </c>
      <c r="Z19">
        <v>0.14365246393</v>
      </c>
      <c r="AA19">
        <v>6.0966610613000002E-2</v>
      </c>
      <c r="AB19">
        <v>6.0457224827999999E-2</v>
      </c>
    </row>
    <row r="20" spans="1:28" x14ac:dyDescent="0.25">
      <c r="A20" t="s">
        <v>26</v>
      </c>
      <c r="B20" t="s">
        <v>31</v>
      </c>
      <c r="C20">
        <v>0.17575852086999999</v>
      </c>
      <c r="D20">
        <v>0.16978913937000001</v>
      </c>
      <c r="E20">
        <v>0.21653841381</v>
      </c>
      <c r="F20">
        <v>5.3381603202999998E-2</v>
      </c>
      <c r="G20">
        <v>2.9056014989000001E-2</v>
      </c>
      <c r="H20">
        <v>8.0108526045000003E-2</v>
      </c>
      <c r="I20">
        <v>0.15009888985</v>
      </c>
      <c r="J20">
        <v>0.18786724515</v>
      </c>
      <c r="K20">
        <v>0.26250908882000001</v>
      </c>
      <c r="L20">
        <v>0.23842802042</v>
      </c>
      <c r="M20">
        <v>0.13015922178</v>
      </c>
      <c r="N20">
        <v>5.7039198404999998E-2</v>
      </c>
      <c r="O20">
        <v>0.17398033396000001</v>
      </c>
      <c r="P20">
        <v>0.13993668503000001</v>
      </c>
      <c r="Q20">
        <v>0.22305723129999999</v>
      </c>
      <c r="R20">
        <v>8.0151759579000004E-2</v>
      </c>
      <c r="S20">
        <v>0.14455718380999999</v>
      </c>
      <c r="T20">
        <v>0.13971061134000001</v>
      </c>
      <c r="U20">
        <v>1</v>
      </c>
      <c r="V20">
        <v>8.9212711850000001E-2</v>
      </c>
      <c r="W20">
        <v>0.12924911316000001</v>
      </c>
      <c r="X20">
        <v>6.1747489264999997E-2</v>
      </c>
      <c r="Y20">
        <v>0.11853585375</v>
      </c>
      <c r="Z20">
        <v>0.17597961888999999</v>
      </c>
      <c r="AA20">
        <v>0.50741510465999995</v>
      </c>
      <c r="AB20">
        <v>0.62146800900999999</v>
      </c>
    </row>
    <row r="21" spans="1:28" x14ac:dyDescent="0.25">
      <c r="A21" t="s">
        <v>54</v>
      </c>
      <c r="B21" t="s">
        <v>122</v>
      </c>
      <c r="C21">
        <v>7.2928152602999997E-3</v>
      </c>
      <c r="D21">
        <v>1.1630725283E-2</v>
      </c>
      <c r="E21">
        <v>2.3705387620999999E-2</v>
      </c>
      <c r="F21">
        <v>-9.9549415262999999E-2</v>
      </c>
      <c r="G21">
        <v>1.6275949341999999E-2</v>
      </c>
      <c r="H21">
        <v>4.8368530053E-2</v>
      </c>
      <c r="I21">
        <v>-1.2036189992E-2</v>
      </c>
      <c r="J21">
        <v>5.2228881956999998E-2</v>
      </c>
      <c r="K21">
        <v>5.8602526681000001E-2</v>
      </c>
      <c r="L21">
        <v>6.5510280022000003E-2</v>
      </c>
      <c r="M21">
        <v>6.6638732835000006E-2</v>
      </c>
      <c r="N21">
        <v>5.5718199115999997E-2</v>
      </c>
      <c r="O21">
        <v>0.10941666260000001</v>
      </c>
      <c r="P21">
        <v>0.30023784911000001</v>
      </c>
      <c r="Q21">
        <v>0.22679491359000001</v>
      </c>
      <c r="R21">
        <v>-1.20084122E-3</v>
      </c>
      <c r="S21">
        <v>-2.7492845403E-2</v>
      </c>
      <c r="T21">
        <v>-2.5544478911999999E-2</v>
      </c>
      <c r="U21">
        <v>8.9212711850000001E-2</v>
      </c>
      <c r="V21">
        <v>1</v>
      </c>
      <c r="W21">
        <v>5.7628710925E-2</v>
      </c>
      <c r="X21">
        <v>-0.13939684131999999</v>
      </c>
      <c r="Y21">
        <v>0.33034884524000002</v>
      </c>
      <c r="Z21">
        <v>0.16020846298999999</v>
      </c>
      <c r="AA21">
        <v>9.6012685666000006E-2</v>
      </c>
      <c r="AB21">
        <v>0.16580145453</v>
      </c>
    </row>
    <row r="22" spans="1:28" x14ac:dyDescent="0.25">
      <c r="A22" t="s">
        <v>55</v>
      </c>
      <c r="B22" t="s">
        <v>139</v>
      </c>
      <c r="C22">
        <v>0.39378253698999999</v>
      </c>
      <c r="D22">
        <v>0.27210003518999998</v>
      </c>
      <c r="E22">
        <v>0.39081080220999997</v>
      </c>
      <c r="F22">
        <v>0.12530840889</v>
      </c>
      <c r="G22">
        <v>0.24212751163999999</v>
      </c>
      <c r="H22">
        <v>0.33680342658000001</v>
      </c>
      <c r="I22">
        <v>0.26398323356999998</v>
      </c>
      <c r="J22">
        <v>0.17152562716</v>
      </c>
      <c r="K22">
        <v>0.15218253991</v>
      </c>
      <c r="L22">
        <v>0.15309493308</v>
      </c>
      <c r="M22">
        <v>0.11281390292</v>
      </c>
      <c r="N22">
        <v>5.6531409336000003E-2</v>
      </c>
      <c r="O22">
        <v>0.23402241692</v>
      </c>
      <c r="P22">
        <v>0.29512624143999999</v>
      </c>
      <c r="Q22">
        <v>0.69061978930000001</v>
      </c>
      <c r="R22">
        <v>0.42394211456999997</v>
      </c>
      <c r="S22">
        <v>0.33619877473999998</v>
      </c>
      <c r="T22">
        <v>0.24584999236999999</v>
      </c>
      <c r="U22">
        <v>0.12924911316000001</v>
      </c>
      <c r="V22">
        <v>5.7628710925E-2</v>
      </c>
      <c r="W22">
        <v>1</v>
      </c>
      <c r="X22">
        <v>0.53361695049000002</v>
      </c>
      <c r="Y22">
        <v>2.4028424417E-2</v>
      </c>
      <c r="Z22">
        <v>0.4464257318</v>
      </c>
      <c r="AA22">
        <v>0.17635569342999999</v>
      </c>
      <c r="AB22">
        <v>0.21658370567999999</v>
      </c>
    </row>
    <row r="23" spans="1:28" x14ac:dyDescent="0.25">
      <c r="A23" t="s">
        <v>56</v>
      </c>
      <c r="B23" t="s">
        <v>140</v>
      </c>
      <c r="C23">
        <v>0.11839404556999999</v>
      </c>
      <c r="D23">
        <v>7.5436954072999995E-2</v>
      </c>
      <c r="E23">
        <v>0.12331970725999999</v>
      </c>
      <c r="F23">
        <v>0.16967605368999999</v>
      </c>
      <c r="G23">
        <v>0.14333458918</v>
      </c>
      <c r="H23">
        <v>0.14660268335000001</v>
      </c>
      <c r="I23">
        <v>0.19281637959</v>
      </c>
      <c r="J23">
        <v>0.11871625806</v>
      </c>
      <c r="K23">
        <v>0.14895775791999999</v>
      </c>
      <c r="L23">
        <v>0.18033062195999999</v>
      </c>
      <c r="M23">
        <v>9.0664246786999997E-2</v>
      </c>
      <c r="N23">
        <v>6.1709623771999997E-2</v>
      </c>
      <c r="O23">
        <v>5.0694986299000003E-2</v>
      </c>
      <c r="P23">
        <v>0.17453736731</v>
      </c>
      <c r="Q23">
        <v>0.31809788896000002</v>
      </c>
      <c r="R23">
        <v>0.24325859803</v>
      </c>
      <c r="S23">
        <v>0.19014879886</v>
      </c>
      <c r="T23">
        <v>0.15526866148999999</v>
      </c>
      <c r="U23">
        <v>6.1747489264999997E-2</v>
      </c>
      <c r="V23">
        <v>-0.13939684131999999</v>
      </c>
      <c r="W23">
        <v>0.53361695049000002</v>
      </c>
      <c r="X23">
        <v>1</v>
      </c>
      <c r="Y23">
        <v>-7.4454550637999994E-2</v>
      </c>
      <c r="Z23">
        <v>0.11229687709</v>
      </c>
      <c r="AA23">
        <v>8.6962335471999996E-2</v>
      </c>
      <c r="AB23">
        <v>0.12568006656</v>
      </c>
    </row>
    <row r="24" spans="1:28" x14ac:dyDescent="0.25">
      <c r="A24" t="s">
        <v>57</v>
      </c>
      <c r="B24" t="s">
        <v>66</v>
      </c>
      <c r="C24">
        <v>0.20445601596999999</v>
      </c>
      <c r="D24">
        <v>8.6732904511999998E-2</v>
      </c>
      <c r="E24">
        <v>0.15865222897</v>
      </c>
      <c r="F24">
        <v>-1.0955785762E-2</v>
      </c>
      <c r="G24">
        <v>9.5733954750999994E-2</v>
      </c>
      <c r="H24">
        <v>0.15074793447000001</v>
      </c>
      <c r="I24">
        <v>5.8234003463999998E-2</v>
      </c>
      <c r="J24">
        <v>9.8063344986000001E-2</v>
      </c>
      <c r="K24">
        <v>-8.4262846877000003E-3</v>
      </c>
      <c r="L24">
        <v>1.0084241084E-2</v>
      </c>
      <c r="M24">
        <v>3.6571077458999998E-2</v>
      </c>
      <c r="N24">
        <v>1.3282562428E-2</v>
      </c>
      <c r="O24">
        <v>0.17126149649</v>
      </c>
      <c r="P24">
        <v>0.30439566634999998</v>
      </c>
      <c r="Q24">
        <v>0.15207405901000001</v>
      </c>
      <c r="R24">
        <v>0.18556996335000001</v>
      </c>
      <c r="S24">
        <v>7.6093120596E-2</v>
      </c>
      <c r="T24">
        <v>0.11014130472</v>
      </c>
      <c r="U24">
        <v>0.11853585375</v>
      </c>
      <c r="V24">
        <v>0.33034884524000002</v>
      </c>
      <c r="W24">
        <v>2.4028424417E-2</v>
      </c>
      <c r="X24">
        <v>-7.4454550637999994E-2</v>
      </c>
      <c r="Y24">
        <v>1</v>
      </c>
      <c r="Z24">
        <v>0.51762636592</v>
      </c>
      <c r="AA24">
        <v>8.7873401869000001E-2</v>
      </c>
      <c r="AB24">
        <v>0.13038195052000001</v>
      </c>
    </row>
    <row r="25" spans="1:28" x14ac:dyDescent="0.25">
      <c r="A25" t="s">
        <v>58</v>
      </c>
      <c r="B25" t="s">
        <v>141</v>
      </c>
      <c r="C25">
        <v>0.45339477251999999</v>
      </c>
      <c r="D25">
        <v>0.26450098562000002</v>
      </c>
      <c r="E25">
        <v>0.3789623412</v>
      </c>
      <c r="F25">
        <v>1.405426144E-2</v>
      </c>
      <c r="G25">
        <v>0.2004478535</v>
      </c>
      <c r="H25">
        <v>0.31264151877000002</v>
      </c>
      <c r="I25">
        <v>0.22021472219999999</v>
      </c>
      <c r="J25">
        <v>0.18263271059</v>
      </c>
      <c r="K25">
        <v>6.3675283718999998E-2</v>
      </c>
      <c r="L25">
        <v>8.1270126127000006E-2</v>
      </c>
      <c r="M25">
        <v>0.11008855443</v>
      </c>
      <c r="N25">
        <v>9.4375039376000003E-2</v>
      </c>
      <c r="O25">
        <v>0.31175297439999999</v>
      </c>
      <c r="P25">
        <v>0.34179403666000002</v>
      </c>
      <c r="Q25">
        <v>0.47555634863000001</v>
      </c>
      <c r="R25">
        <v>0.21101144185000001</v>
      </c>
      <c r="S25">
        <v>0.13603934711999999</v>
      </c>
      <c r="T25">
        <v>0.14365246393</v>
      </c>
      <c r="U25">
        <v>0.17597961888999999</v>
      </c>
      <c r="V25">
        <v>0.16020846298999999</v>
      </c>
      <c r="W25">
        <v>0.4464257318</v>
      </c>
      <c r="X25">
        <v>0.11229687709</v>
      </c>
      <c r="Y25">
        <v>0.51762636592</v>
      </c>
      <c r="Z25">
        <v>1</v>
      </c>
      <c r="AA25">
        <v>0.16923293467</v>
      </c>
      <c r="AB25">
        <v>0.2019914397</v>
      </c>
    </row>
    <row r="26" spans="1:28" x14ac:dyDescent="0.25">
      <c r="A26" t="s">
        <v>59</v>
      </c>
      <c r="B26" t="s">
        <v>142</v>
      </c>
      <c r="C26">
        <v>3.3804047807999997E-2</v>
      </c>
      <c r="D26">
        <v>7.8810478495999994E-2</v>
      </c>
      <c r="E26">
        <v>0.10369879419</v>
      </c>
      <c r="F26">
        <v>6.6692586966E-2</v>
      </c>
      <c r="G26">
        <v>0.14869539212999999</v>
      </c>
      <c r="H26">
        <v>0.17875397023</v>
      </c>
      <c r="I26">
        <v>0.13707993549</v>
      </c>
      <c r="J26">
        <v>0.17371535600999999</v>
      </c>
      <c r="K26">
        <v>0.23359119443000001</v>
      </c>
      <c r="L26">
        <v>0.23218611058999999</v>
      </c>
      <c r="M26">
        <v>0.14561893542000001</v>
      </c>
      <c r="N26">
        <v>0.10306146768</v>
      </c>
      <c r="O26">
        <v>0.1108632204</v>
      </c>
      <c r="P26">
        <v>0.21161487144999999</v>
      </c>
      <c r="Q26">
        <v>0.18482394998000001</v>
      </c>
      <c r="R26">
        <v>0.10278196829</v>
      </c>
      <c r="S26">
        <v>6.4128014100999997E-2</v>
      </c>
      <c r="T26">
        <v>6.0966610613000002E-2</v>
      </c>
      <c r="U26">
        <v>0.50741510465999995</v>
      </c>
      <c r="V26">
        <v>9.6012685666000006E-2</v>
      </c>
      <c r="W26">
        <v>0.17635569342999999</v>
      </c>
      <c r="X26">
        <v>8.6962335471999996E-2</v>
      </c>
      <c r="Y26">
        <v>8.7873401869000001E-2</v>
      </c>
      <c r="Z26">
        <v>0.16923293467</v>
      </c>
      <c r="AA26">
        <v>1</v>
      </c>
      <c r="AB26">
        <v>0.87887419644999998</v>
      </c>
    </row>
    <row r="27" spans="1:28" x14ac:dyDescent="0.25">
      <c r="A27" t="s">
        <v>60</v>
      </c>
      <c r="B27" t="s">
        <v>143</v>
      </c>
      <c r="C27">
        <v>7.0134818577000005E-2</v>
      </c>
      <c r="D27">
        <v>9.4513810170000004E-2</v>
      </c>
      <c r="E27">
        <v>0.1220309368</v>
      </c>
      <c r="F27">
        <v>4.5666972064E-2</v>
      </c>
      <c r="G27">
        <v>0.16134596302000001</v>
      </c>
      <c r="H27">
        <v>0.20076020657999999</v>
      </c>
      <c r="I27">
        <v>0.15347430389</v>
      </c>
      <c r="J27">
        <v>0.18780982267999999</v>
      </c>
      <c r="K27">
        <v>0.25542949996999997</v>
      </c>
      <c r="L27">
        <v>0.25207874699999999</v>
      </c>
      <c r="M27">
        <v>0.17452377839</v>
      </c>
      <c r="N27">
        <v>0.11686733684</v>
      </c>
      <c r="O27">
        <v>0.13540432459000001</v>
      </c>
      <c r="P27">
        <v>0.24537239679</v>
      </c>
      <c r="Q27">
        <v>0.24409376187000001</v>
      </c>
      <c r="R27">
        <v>0.11267343448</v>
      </c>
      <c r="S27">
        <v>5.9355987691999998E-2</v>
      </c>
      <c r="T27">
        <v>6.0457224827999999E-2</v>
      </c>
      <c r="U27">
        <v>0.62146800900999999</v>
      </c>
      <c r="V27">
        <v>0.16580145453</v>
      </c>
      <c r="W27">
        <v>0.21658370567999999</v>
      </c>
      <c r="X27">
        <v>0.12568006656</v>
      </c>
      <c r="Y27">
        <v>0.13038195052000001</v>
      </c>
      <c r="Z27">
        <v>0.2019914397</v>
      </c>
      <c r="AA27">
        <v>0.87887419644999998</v>
      </c>
      <c r="AB27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2F97-88D7-482B-9723-719860548B12}">
  <dimension ref="A1:AA27"/>
  <sheetViews>
    <sheetView workbookViewId="0">
      <selection activeCell="I4" sqref="I4"/>
    </sheetView>
  </sheetViews>
  <sheetFormatPr defaultRowHeight="15" x14ac:dyDescent="0.25"/>
  <sheetData>
    <row r="1" spans="1:27" x14ac:dyDescent="0.25">
      <c r="B1" t="s">
        <v>80</v>
      </c>
      <c r="C1" t="s">
        <v>114</v>
      </c>
      <c r="D1" t="s">
        <v>96</v>
      </c>
      <c r="E1" t="s">
        <v>89</v>
      </c>
      <c r="F1" t="s">
        <v>88</v>
      </c>
      <c r="G1" t="s">
        <v>108</v>
      </c>
      <c r="H1" t="s">
        <v>118</v>
      </c>
      <c r="I1" t="s">
        <v>110</v>
      </c>
      <c r="J1" t="s">
        <v>90</v>
      </c>
      <c r="K1" t="s">
        <v>79</v>
      </c>
      <c r="L1" t="s">
        <v>81</v>
      </c>
      <c r="M1" t="s">
        <v>94</v>
      </c>
      <c r="N1" t="s">
        <v>82</v>
      </c>
      <c r="O1" t="s">
        <v>92</v>
      </c>
      <c r="P1" t="s">
        <v>83</v>
      </c>
      <c r="Q1" t="s">
        <v>87</v>
      </c>
      <c r="R1" t="s">
        <v>84</v>
      </c>
      <c r="S1" t="s">
        <v>102</v>
      </c>
      <c r="T1" t="s">
        <v>112</v>
      </c>
      <c r="U1" t="s">
        <v>86</v>
      </c>
      <c r="V1" t="s">
        <v>100</v>
      </c>
      <c r="W1" t="s">
        <v>116</v>
      </c>
      <c r="X1" t="s">
        <v>85</v>
      </c>
      <c r="Y1" t="s">
        <v>104</v>
      </c>
      <c r="Z1" t="s">
        <v>98</v>
      </c>
      <c r="AA1" t="s">
        <v>106</v>
      </c>
    </row>
    <row r="2" spans="1:27" x14ac:dyDescent="0.25">
      <c r="A2" t="s">
        <v>80</v>
      </c>
      <c r="B2">
        <f>Correlação!C2</f>
        <v>1</v>
      </c>
      <c r="C2">
        <f>Correlação!D2</f>
        <v>0.80660057122999995</v>
      </c>
      <c r="D2">
        <f>Correlação!E2</f>
        <v>0.86557442398999995</v>
      </c>
      <c r="E2">
        <f>Correlação!F2</f>
        <v>0.30936012522</v>
      </c>
      <c r="F2">
        <f>Correlação!G2</f>
        <v>0.11717329122</v>
      </c>
      <c r="G2">
        <f>Correlação!H2</f>
        <v>0.17470048422000001</v>
      </c>
      <c r="H2">
        <f>Correlação!I2</f>
        <v>0.12264259823</v>
      </c>
      <c r="I2">
        <f>Correlação!J2</f>
        <v>5.1435473151E-2</v>
      </c>
      <c r="J2">
        <f>Correlação!K2</f>
        <v>8.3672675059000001E-2</v>
      </c>
      <c r="K2">
        <f>Correlação!L2</f>
        <v>8.3464113497999995E-2</v>
      </c>
      <c r="L2">
        <f>Correlação!M2</f>
        <v>7.5141071035999998E-2</v>
      </c>
      <c r="M2">
        <f>Correlação!N2</f>
        <v>2.264202354E-2</v>
      </c>
      <c r="N2">
        <f>Correlação!O2</f>
        <v>0.32688933648000001</v>
      </c>
      <c r="O2">
        <f>Correlação!P2</f>
        <v>8.8196584371999995E-2</v>
      </c>
      <c r="P2">
        <f>Correlação!Q2</f>
        <v>0.23920471147</v>
      </c>
      <c r="Q2">
        <f>Correlação!R2</f>
        <v>0.50019883604000004</v>
      </c>
      <c r="R2">
        <f>Correlação!S2</f>
        <v>0.51505891968999995</v>
      </c>
      <c r="S2">
        <f>Correlação!T2</f>
        <v>0.43014030044000001</v>
      </c>
      <c r="T2">
        <f>Correlação!U2</f>
        <v>0.17575852086999999</v>
      </c>
      <c r="U2">
        <f>Correlação!V2</f>
        <v>7.2928152602999997E-3</v>
      </c>
      <c r="V2">
        <f>Correlação!W2</f>
        <v>0.39378253698999999</v>
      </c>
      <c r="W2">
        <f>Correlação!X2</f>
        <v>0.11839404556999999</v>
      </c>
      <c r="X2">
        <f>Correlação!Y2</f>
        <v>0.20445601596999999</v>
      </c>
      <c r="Y2">
        <f>Correlação!Z2</f>
        <v>0.45339477251999999</v>
      </c>
      <c r="Z2">
        <f>Correlação!AA2</f>
        <v>3.3804047807999997E-2</v>
      </c>
      <c r="AA2">
        <f>Correlação!AB2</f>
        <v>7.0134818577000005E-2</v>
      </c>
    </row>
    <row r="3" spans="1:27" x14ac:dyDescent="0.25">
      <c r="A3" t="s">
        <v>114</v>
      </c>
      <c r="B3">
        <f>Correlação!C3</f>
        <v>0.80660057122999995</v>
      </c>
      <c r="C3">
        <f>Correlação!D3</f>
        <v>1</v>
      </c>
      <c r="D3">
        <f>Correlação!E3</f>
        <v>0.91799651028999996</v>
      </c>
      <c r="E3">
        <f>Correlação!F3</f>
        <v>0.24077845227</v>
      </c>
      <c r="F3">
        <f>Correlação!G3</f>
        <v>3.3221822614000002E-2</v>
      </c>
      <c r="G3">
        <f>Correlação!H3</f>
        <v>5.7506897978000002E-2</v>
      </c>
      <c r="H3">
        <f>Correlação!I3</f>
        <v>-4.6931958964999999E-2</v>
      </c>
      <c r="I3">
        <f>Correlação!J3</f>
        <v>6.5493193464000003E-3</v>
      </c>
      <c r="J3">
        <f>Correlação!K3</f>
        <v>5.0991616577E-2</v>
      </c>
      <c r="K3">
        <f>Correlação!L3</f>
        <v>2.8904915754000001E-2</v>
      </c>
      <c r="L3">
        <f>Correlação!M3</f>
        <v>-5.3501093432000001E-3</v>
      </c>
      <c r="M3">
        <f>Correlação!N3</f>
        <v>-3.4782461982000003E-2</v>
      </c>
      <c r="N3">
        <f>Correlação!O3</f>
        <v>0.17140829120000001</v>
      </c>
      <c r="O3">
        <f>Correlação!P3</f>
        <v>-5.3974840679E-3</v>
      </c>
      <c r="P3">
        <f>Correlação!Q3</f>
        <v>7.7612613706999997E-2</v>
      </c>
      <c r="Q3">
        <f>Correlação!R3</f>
        <v>0.47335686417</v>
      </c>
      <c r="R3">
        <f>Correlação!S3</f>
        <v>0.50058456366000004</v>
      </c>
      <c r="S3">
        <f>Correlação!T3</f>
        <v>0.40873459272000001</v>
      </c>
      <c r="T3">
        <f>Correlação!U3</f>
        <v>0.16978913937000001</v>
      </c>
      <c r="U3">
        <f>Correlação!V3</f>
        <v>1.1630725283E-2</v>
      </c>
      <c r="V3">
        <f>Correlação!W3</f>
        <v>0.27210003518999998</v>
      </c>
      <c r="W3">
        <f>Correlação!X3</f>
        <v>7.5436954072999995E-2</v>
      </c>
      <c r="X3">
        <f>Correlação!Y3</f>
        <v>8.6732904511999998E-2</v>
      </c>
      <c r="Y3">
        <f>Correlação!Z3</f>
        <v>0.26450098562000002</v>
      </c>
      <c r="Z3">
        <f>Correlação!AA3</f>
        <v>7.8810478495999994E-2</v>
      </c>
      <c r="AA3">
        <f>Correlação!AB3</f>
        <v>9.4513810170000004E-2</v>
      </c>
    </row>
    <row r="4" spans="1:27" x14ac:dyDescent="0.25">
      <c r="A4" t="s">
        <v>96</v>
      </c>
      <c r="B4">
        <f>Correlação!C4</f>
        <v>0.86557442398999995</v>
      </c>
      <c r="C4">
        <f>Correlação!D4</f>
        <v>0.91799651028999996</v>
      </c>
      <c r="D4">
        <f>Correlação!E4</f>
        <v>1</v>
      </c>
      <c r="E4">
        <f>Correlação!F4</f>
        <v>0.22598784870999999</v>
      </c>
      <c r="F4">
        <f>Correlação!G4</f>
        <v>8.7303385309999995E-2</v>
      </c>
      <c r="G4">
        <f>Correlação!H4</f>
        <v>0.13279622830999999</v>
      </c>
      <c r="H4">
        <f>Correlação!I4</f>
        <v>3.1033904785999999E-2</v>
      </c>
      <c r="I4">
        <f>Correlação!J4</f>
        <v>5.5816486702999997E-2</v>
      </c>
      <c r="J4">
        <f>Correlação!K4</f>
        <v>9.4052928474E-2</v>
      </c>
      <c r="K4">
        <f>Correlação!L4</f>
        <v>7.7938592170000001E-2</v>
      </c>
      <c r="L4">
        <f>Correlação!M4</f>
        <v>5.6631130809999999E-2</v>
      </c>
      <c r="M4">
        <f>Correlação!N4</f>
        <v>1.3461238318E-2</v>
      </c>
      <c r="N4">
        <f>Correlação!O4</f>
        <v>0.25749886231000002</v>
      </c>
      <c r="O4">
        <f>Correlação!P4</f>
        <v>8.8512401912999999E-2</v>
      </c>
      <c r="P4">
        <f>Correlação!Q4</f>
        <v>0.20887011412000001</v>
      </c>
      <c r="Q4">
        <f>Correlação!R4</f>
        <v>0.56056085320000004</v>
      </c>
      <c r="R4">
        <f>Correlação!S4</f>
        <v>0.59265757333000002</v>
      </c>
      <c r="S4">
        <f>Correlação!T4</f>
        <v>0.45771662210000003</v>
      </c>
      <c r="T4">
        <f>Correlação!U4</f>
        <v>0.21653841381</v>
      </c>
      <c r="U4">
        <f>Correlação!V4</f>
        <v>2.3705387620999999E-2</v>
      </c>
      <c r="V4">
        <f>Correlação!W4</f>
        <v>0.39081080220999997</v>
      </c>
      <c r="W4">
        <f>Correlação!X4</f>
        <v>0.12331970725999999</v>
      </c>
      <c r="X4">
        <f>Correlação!Y4</f>
        <v>0.15865222897</v>
      </c>
      <c r="Y4">
        <f>Correlação!Z4</f>
        <v>0.3789623412</v>
      </c>
      <c r="Z4">
        <f>Correlação!AA4</f>
        <v>0.10369879419</v>
      </c>
      <c r="AA4">
        <f>Correlação!AB4</f>
        <v>0.1220309368</v>
      </c>
    </row>
    <row r="5" spans="1:27" x14ac:dyDescent="0.25">
      <c r="A5" t="s">
        <v>89</v>
      </c>
      <c r="B5">
        <f>Correlação!C5</f>
        <v>0.30936012522</v>
      </c>
      <c r="C5">
        <f>Correlação!D5</f>
        <v>0.24077845227</v>
      </c>
      <c r="D5">
        <f>Correlação!E5</f>
        <v>0.22598784870999999</v>
      </c>
      <c r="E5">
        <f>Correlação!F5</f>
        <v>1</v>
      </c>
      <c r="F5">
        <f>Correlação!G5</f>
        <v>-3.8735133038000002E-3</v>
      </c>
      <c r="G5">
        <f>Correlação!H5</f>
        <v>-8.8875867286999997E-4</v>
      </c>
      <c r="H5">
        <f>Correlação!I5</f>
        <v>7.6105460466999999E-3</v>
      </c>
      <c r="I5">
        <f>Correlação!J5</f>
        <v>0.23137622082000001</v>
      </c>
      <c r="J5">
        <f>Correlação!K5</f>
        <v>0.15293292620999999</v>
      </c>
      <c r="K5">
        <f>Correlação!L5</f>
        <v>0.23417922458000001</v>
      </c>
      <c r="L5">
        <f>Correlação!M5</f>
        <v>3.8473755792999997E-2</v>
      </c>
      <c r="M5">
        <f>Correlação!N5</f>
        <v>6.5765606690000006E-2</v>
      </c>
      <c r="N5">
        <f>Correlação!O5</f>
        <v>7.3117674817999995E-2</v>
      </c>
      <c r="O5">
        <f>Correlação!P5</f>
        <v>-5.1218920288E-2</v>
      </c>
      <c r="P5">
        <f>Correlação!Q5</f>
        <v>-5.5498657520000001E-2</v>
      </c>
      <c r="Q5">
        <f>Correlação!R5</f>
        <v>0.27937983246999998</v>
      </c>
      <c r="R5">
        <f>Correlação!S5</f>
        <v>0.34516234154999997</v>
      </c>
      <c r="S5">
        <f>Correlação!T5</f>
        <v>0.25347102748</v>
      </c>
      <c r="T5">
        <f>Correlação!U5</f>
        <v>5.3381603202999998E-2</v>
      </c>
      <c r="U5">
        <f>Correlação!V5</f>
        <v>-9.9549415262999999E-2</v>
      </c>
      <c r="V5">
        <f>Correlação!W5</f>
        <v>0.12530840889</v>
      </c>
      <c r="W5">
        <f>Correlação!X5</f>
        <v>0.16967605368999999</v>
      </c>
      <c r="X5">
        <f>Correlação!Y5</f>
        <v>-1.0955785762E-2</v>
      </c>
      <c r="Y5">
        <f>Correlação!Z5</f>
        <v>1.405426144E-2</v>
      </c>
      <c r="Z5">
        <f>Correlação!AA5</f>
        <v>6.6692586966E-2</v>
      </c>
      <c r="AA5">
        <f>Correlação!AB5</f>
        <v>4.5666972064E-2</v>
      </c>
    </row>
    <row r="6" spans="1:27" x14ac:dyDescent="0.25">
      <c r="A6" t="s">
        <v>88</v>
      </c>
      <c r="B6">
        <f>Correlação!C6</f>
        <v>0.11717329122</v>
      </c>
      <c r="C6">
        <f>Correlação!D6</f>
        <v>3.3221822614000002E-2</v>
      </c>
      <c r="D6">
        <f>Correlação!E6</f>
        <v>8.7303385309999995E-2</v>
      </c>
      <c r="E6">
        <f>Correlação!F6</f>
        <v>-3.8735133038000002E-3</v>
      </c>
      <c r="F6">
        <f>Correlação!G6</f>
        <v>1</v>
      </c>
      <c r="G6">
        <f>Correlação!H6</f>
        <v>0.94246151314000004</v>
      </c>
      <c r="H6">
        <f>Correlação!I6</f>
        <v>0.59634360981000001</v>
      </c>
      <c r="I6">
        <f>Correlação!J6</f>
        <v>7.7544847851000007E-2</v>
      </c>
      <c r="J6">
        <f>Correlação!K6</f>
        <v>4.6949027301E-2</v>
      </c>
      <c r="K6">
        <f>Correlação!L6</f>
        <v>6.3685688091999995E-2</v>
      </c>
      <c r="L6">
        <f>Correlação!M6</f>
        <v>4.1976161752000002E-2</v>
      </c>
      <c r="M6">
        <f>Correlação!N6</f>
        <v>1.5833453623999998E-2</v>
      </c>
      <c r="N6">
        <f>Correlação!O6</f>
        <v>0.17882173543999999</v>
      </c>
      <c r="O6">
        <f>Correlação!P6</f>
        <v>0.19937567808000001</v>
      </c>
      <c r="P6">
        <f>Correlação!Q6</f>
        <v>0.27767777662999998</v>
      </c>
      <c r="Q6">
        <f>Correlação!R6</f>
        <v>2.8529201938000001E-2</v>
      </c>
      <c r="R6">
        <f>Correlação!S6</f>
        <v>-1.0509668186E-2</v>
      </c>
      <c r="S6">
        <f>Correlação!T6</f>
        <v>3.7812621646999998E-3</v>
      </c>
      <c r="T6">
        <f>Correlação!U6</f>
        <v>2.9056014989000001E-2</v>
      </c>
      <c r="U6">
        <f>Correlação!V6</f>
        <v>1.6275949341999999E-2</v>
      </c>
      <c r="V6">
        <f>Correlação!W6</f>
        <v>0.24212751163999999</v>
      </c>
      <c r="W6">
        <f>Correlação!X6</f>
        <v>0.14333458918</v>
      </c>
      <c r="X6">
        <f>Correlação!Y6</f>
        <v>9.5733954750999994E-2</v>
      </c>
      <c r="Y6">
        <f>Correlação!Z6</f>
        <v>0.2004478535</v>
      </c>
      <c r="Z6">
        <f>Correlação!AA6</f>
        <v>0.14869539212999999</v>
      </c>
      <c r="AA6">
        <f>Correlação!AB6</f>
        <v>0.16134596302000001</v>
      </c>
    </row>
    <row r="7" spans="1:27" x14ac:dyDescent="0.25">
      <c r="A7" t="s">
        <v>108</v>
      </c>
      <c r="B7">
        <f>Correlação!C7</f>
        <v>0.17470048422000001</v>
      </c>
      <c r="C7">
        <f>Correlação!D7</f>
        <v>5.7506897978000002E-2</v>
      </c>
      <c r="D7">
        <f>Correlação!E7</f>
        <v>0.13279622830999999</v>
      </c>
      <c r="E7">
        <f>Correlação!F7</f>
        <v>-8.8875867286999997E-4</v>
      </c>
      <c r="F7">
        <f>Correlação!G7</f>
        <v>0.94246151314000004</v>
      </c>
      <c r="G7">
        <f>Correlação!H7</f>
        <v>1</v>
      </c>
      <c r="H7">
        <f>Correlação!I7</f>
        <v>0.65863418646000005</v>
      </c>
      <c r="I7">
        <f>Correlação!J7</f>
        <v>8.6211790541000005E-2</v>
      </c>
      <c r="J7">
        <f>Correlação!K7</f>
        <v>5.0288898866999998E-2</v>
      </c>
      <c r="K7">
        <f>Correlação!L7</f>
        <v>7.0308478029999996E-2</v>
      </c>
      <c r="L7">
        <f>Correlação!M7</f>
        <v>0.10417812479000001</v>
      </c>
      <c r="M7">
        <f>Correlação!N7</f>
        <v>5.3055291471E-2</v>
      </c>
      <c r="N7">
        <f>Correlação!O7</f>
        <v>0.22242580778000001</v>
      </c>
      <c r="O7">
        <f>Correlação!P7</f>
        <v>0.25964193586000001</v>
      </c>
      <c r="P7">
        <f>Correlação!Q7</f>
        <v>0.39680986586</v>
      </c>
      <c r="Q7">
        <f>Correlação!R7</f>
        <v>7.6313203630999998E-2</v>
      </c>
      <c r="R7">
        <f>Correlação!S7</f>
        <v>6.5975506130000004E-3</v>
      </c>
      <c r="S7">
        <f>Correlação!T7</f>
        <v>1.2833405682999999E-2</v>
      </c>
      <c r="T7">
        <f>Correlação!U7</f>
        <v>8.0108526045000003E-2</v>
      </c>
      <c r="U7">
        <f>Correlação!V7</f>
        <v>4.8368530053E-2</v>
      </c>
      <c r="V7">
        <f>Correlação!W7</f>
        <v>0.33680342658000001</v>
      </c>
      <c r="W7">
        <f>Correlação!X7</f>
        <v>0.14660268335000001</v>
      </c>
      <c r="X7">
        <f>Correlação!Y7</f>
        <v>0.15074793447000001</v>
      </c>
      <c r="Y7">
        <f>Correlação!Z7</f>
        <v>0.31264151877000002</v>
      </c>
      <c r="Z7">
        <f>Correlação!AA7</f>
        <v>0.17875397023</v>
      </c>
      <c r="AA7">
        <f>Correlação!AB7</f>
        <v>0.20076020657999999</v>
      </c>
    </row>
    <row r="8" spans="1:27" x14ac:dyDescent="0.25">
      <c r="A8" t="s">
        <v>118</v>
      </c>
      <c r="B8">
        <f>Correlação!C8</f>
        <v>0.12264259823</v>
      </c>
      <c r="C8">
        <f>Correlação!D8</f>
        <v>-4.6931958964999999E-2</v>
      </c>
      <c r="D8">
        <f>Correlação!E8</f>
        <v>3.1033904785999999E-2</v>
      </c>
      <c r="E8">
        <f>Correlação!F8</f>
        <v>7.6105460466999999E-3</v>
      </c>
      <c r="F8">
        <f>Correlação!G8</f>
        <v>0.59634360981000001</v>
      </c>
      <c r="G8">
        <f>Correlação!H8</f>
        <v>0.65863418646000005</v>
      </c>
      <c r="H8">
        <f>Correlação!I8</f>
        <v>1</v>
      </c>
      <c r="I8">
        <f>Correlação!J8</f>
        <v>0.11890789457000001</v>
      </c>
      <c r="J8">
        <f>Correlação!K8</f>
        <v>5.9485705484E-2</v>
      </c>
      <c r="K8">
        <f>Correlação!L8</f>
        <v>8.8274222784999995E-2</v>
      </c>
      <c r="L8">
        <f>Correlação!M8</f>
        <v>0.17465303608999999</v>
      </c>
      <c r="M8">
        <f>Correlação!N8</f>
        <v>0.1223990693</v>
      </c>
      <c r="N8">
        <f>Correlação!O8</f>
        <v>0.27183203626000002</v>
      </c>
      <c r="O8">
        <f>Correlação!P8</f>
        <v>0.17326414395</v>
      </c>
      <c r="P8">
        <f>Correlação!Q8</f>
        <v>0.34859837506000002</v>
      </c>
      <c r="Q8">
        <f>Correlação!R8</f>
        <v>1.4365082743E-2</v>
      </c>
      <c r="R8">
        <f>Correlação!S8</f>
        <v>-1.1091878305E-2</v>
      </c>
      <c r="S8">
        <f>Correlação!T8</f>
        <v>-3.5955122213999998E-3</v>
      </c>
      <c r="T8">
        <f>Correlação!U8</f>
        <v>0.15009888985</v>
      </c>
      <c r="U8">
        <f>Correlação!V8</f>
        <v>-1.2036189992E-2</v>
      </c>
      <c r="V8">
        <f>Correlação!W8</f>
        <v>0.26398323356999998</v>
      </c>
      <c r="W8">
        <f>Correlação!X8</f>
        <v>0.19281637959</v>
      </c>
      <c r="X8">
        <f>Correlação!Y8</f>
        <v>5.8234003463999998E-2</v>
      </c>
      <c r="Y8">
        <f>Correlação!Z8</f>
        <v>0.22021472219999999</v>
      </c>
      <c r="Z8">
        <f>Correlação!AA8</f>
        <v>0.13707993549</v>
      </c>
      <c r="AA8">
        <f>Correlação!AB8</f>
        <v>0.15347430389</v>
      </c>
    </row>
    <row r="9" spans="1:27" x14ac:dyDescent="0.25">
      <c r="A9" t="s">
        <v>110</v>
      </c>
      <c r="B9">
        <f>Correlação!C9</f>
        <v>5.1435473151E-2</v>
      </c>
      <c r="C9">
        <f>Correlação!D9</f>
        <v>6.5493193464000003E-3</v>
      </c>
      <c r="D9">
        <f>Correlação!E9</f>
        <v>5.5816486702999997E-2</v>
      </c>
      <c r="E9">
        <f>Correlação!F9</f>
        <v>0.23137622082000001</v>
      </c>
      <c r="F9">
        <f>Correlação!G9</f>
        <v>7.7544847851000007E-2</v>
      </c>
      <c r="G9">
        <f>Correlação!H9</f>
        <v>8.6211790541000005E-2</v>
      </c>
      <c r="H9">
        <f>Correlação!I9</f>
        <v>0.11890789457000001</v>
      </c>
      <c r="I9">
        <f>Correlação!J9</f>
        <v>1</v>
      </c>
      <c r="J9">
        <f>Correlação!K9</f>
        <v>0.68662130330000004</v>
      </c>
      <c r="K9">
        <f>Correlação!L9</f>
        <v>0.77396936713999998</v>
      </c>
      <c r="L9">
        <f>Correlação!M9</f>
        <v>9.0689795633000003E-2</v>
      </c>
      <c r="M9">
        <f>Correlação!N9</f>
        <v>7.1674814138999995E-2</v>
      </c>
      <c r="N9">
        <f>Correlação!O9</f>
        <v>0.12259399409000001</v>
      </c>
      <c r="O9">
        <f>Correlação!P9</f>
        <v>0.16671512041</v>
      </c>
      <c r="P9">
        <f>Correlação!Q9</f>
        <v>0.16738040010999999</v>
      </c>
      <c r="Q9">
        <f>Correlação!R9</f>
        <v>4.9055472635999998E-2</v>
      </c>
      <c r="R9">
        <f>Correlação!S9</f>
        <v>0.20334097227</v>
      </c>
      <c r="S9">
        <f>Correlação!T9</f>
        <v>0.23302661190999999</v>
      </c>
      <c r="T9">
        <f>Correlação!U9</f>
        <v>0.18786724515</v>
      </c>
      <c r="U9">
        <f>Correlação!V9</f>
        <v>5.2228881956999998E-2</v>
      </c>
      <c r="V9">
        <f>Correlação!W9</f>
        <v>0.17152562716</v>
      </c>
      <c r="W9">
        <f>Correlação!X9</f>
        <v>0.11871625806</v>
      </c>
      <c r="X9">
        <f>Correlação!Y9</f>
        <v>9.8063344986000001E-2</v>
      </c>
      <c r="Y9">
        <f>Correlação!Z9</f>
        <v>0.18263271059</v>
      </c>
      <c r="Z9">
        <f>Correlação!AA9</f>
        <v>0.17371535600999999</v>
      </c>
      <c r="AA9">
        <f>Correlação!AB9</f>
        <v>0.18780982267999999</v>
      </c>
    </row>
    <row r="10" spans="1:27" x14ac:dyDescent="0.25">
      <c r="A10" t="s">
        <v>90</v>
      </c>
      <c r="B10">
        <f>Correlação!C10</f>
        <v>8.3672675059000001E-2</v>
      </c>
      <c r="C10">
        <f>Correlação!D10</f>
        <v>5.0991616577E-2</v>
      </c>
      <c r="D10">
        <f>Correlação!E10</f>
        <v>9.4052928474E-2</v>
      </c>
      <c r="E10">
        <f>Correlação!F10</f>
        <v>0.15293292620999999</v>
      </c>
      <c r="F10">
        <f>Correlação!G10</f>
        <v>4.6949027301E-2</v>
      </c>
      <c r="G10">
        <f>Correlação!H10</f>
        <v>5.0288898866999998E-2</v>
      </c>
      <c r="H10">
        <f>Correlação!I10</f>
        <v>5.9485705484E-2</v>
      </c>
      <c r="I10">
        <f>Correlação!J10</f>
        <v>0.68662130330000004</v>
      </c>
      <c r="J10">
        <f>Correlação!K10</f>
        <v>1</v>
      </c>
      <c r="K10">
        <f>Correlação!L10</f>
        <v>0.94366056061000003</v>
      </c>
      <c r="L10">
        <f>Correlação!M10</f>
        <v>9.1189788366999994E-2</v>
      </c>
      <c r="M10">
        <f>Correlação!N10</f>
        <v>6.8676438573000001E-2</v>
      </c>
      <c r="N10">
        <f>Correlação!O10</f>
        <v>0.18845282866999999</v>
      </c>
      <c r="O10">
        <f>Correlação!P10</f>
        <v>6.9357864428999993E-2</v>
      </c>
      <c r="P10">
        <f>Correlação!Q10</f>
        <v>0.10381082505</v>
      </c>
      <c r="Q10">
        <f>Correlação!R10</f>
        <v>8.3848517617000004E-2</v>
      </c>
      <c r="R10">
        <f>Correlação!S10</f>
        <v>0.18097875016000001</v>
      </c>
      <c r="S10">
        <f>Correlação!T10</f>
        <v>0.24790338570000001</v>
      </c>
      <c r="T10">
        <f>Correlação!U10</f>
        <v>0.26250908882000001</v>
      </c>
      <c r="U10">
        <f>Correlação!V10</f>
        <v>5.8602526681000001E-2</v>
      </c>
      <c r="V10">
        <f>Correlação!W10</f>
        <v>0.15218253991</v>
      </c>
      <c r="W10">
        <f>Correlação!X10</f>
        <v>0.14895775791999999</v>
      </c>
      <c r="X10">
        <f>Correlação!Y10</f>
        <v>-8.4262846877000003E-3</v>
      </c>
      <c r="Y10">
        <f>Correlação!Z10</f>
        <v>6.3675283718999998E-2</v>
      </c>
      <c r="Z10">
        <f>Correlação!AA10</f>
        <v>0.23359119443000001</v>
      </c>
      <c r="AA10">
        <f>Correlação!AB10</f>
        <v>0.25542949996999997</v>
      </c>
    </row>
    <row r="11" spans="1:27" x14ac:dyDescent="0.25">
      <c r="A11" t="s">
        <v>79</v>
      </c>
      <c r="B11">
        <f>Correlação!C11</f>
        <v>8.3464113497999995E-2</v>
      </c>
      <c r="C11">
        <f>Correlação!D11</f>
        <v>2.8904915754000001E-2</v>
      </c>
      <c r="D11">
        <f>Correlação!E11</f>
        <v>7.7938592170000001E-2</v>
      </c>
      <c r="E11">
        <f>Correlação!F11</f>
        <v>0.23417922458000001</v>
      </c>
      <c r="F11">
        <f>Correlação!G11</f>
        <v>6.3685688091999995E-2</v>
      </c>
      <c r="G11">
        <f>Correlação!H11</f>
        <v>7.0308478029999996E-2</v>
      </c>
      <c r="H11">
        <f>Correlação!I11</f>
        <v>8.8274222784999995E-2</v>
      </c>
      <c r="I11">
        <f>Correlação!J11</f>
        <v>0.77396936713999998</v>
      </c>
      <c r="J11">
        <f>Correlação!K11</f>
        <v>0.94366056061000003</v>
      </c>
      <c r="K11">
        <f>Correlação!L11</f>
        <v>1</v>
      </c>
      <c r="L11">
        <f>Correlação!M11</f>
        <v>0.12918220403</v>
      </c>
      <c r="M11">
        <f>Correlação!N11</f>
        <v>9.3933599441000007E-2</v>
      </c>
      <c r="N11">
        <f>Correlação!O11</f>
        <v>0.19655993992000001</v>
      </c>
      <c r="O11">
        <f>Correlação!P11</f>
        <v>0.11817354053</v>
      </c>
      <c r="P11">
        <f>Correlação!Q11</f>
        <v>0.13882349466999999</v>
      </c>
      <c r="Q11">
        <f>Correlação!R11</f>
        <v>9.8933464624000003E-2</v>
      </c>
      <c r="R11">
        <f>Correlação!S11</f>
        <v>0.24069293639</v>
      </c>
      <c r="S11">
        <f>Correlação!T11</f>
        <v>0.28042962400999999</v>
      </c>
      <c r="T11">
        <f>Correlação!U11</f>
        <v>0.23842802042</v>
      </c>
      <c r="U11">
        <f>Correlação!V11</f>
        <v>6.5510280022000003E-2</v>
      </c>
      <c r="V11">
        <f>Correlação!W11</f>
        <v>0.15309493308</v>
      </c>
      <c r="W11">
        <f>Correlação!X11</f>
        <v>0.18033062195999999</v>
      </c>
      <c r="X11">
        <f>Correlação!Y11</f>
        <v>1.0084241084E-2</v>
      </c>
      <c r="Y11">
        <f>Correlação!Z11</f>
        <v>8.1270126127000006E-2</v>
      </c>
      <c r="Z11">
        <f>Correlação!AA11</f>
        <v>0.23218611058999999</v>
      </c>
      <c r="AA11">
        <f>Correlação!AB11</f>
        <v>0.25207874699999999</v>
      </c>
    </row>
    <row r="12" spans="1:27" x14ac:dyDescent="0.25">
      <c r="A12" t="s">
        <v>81</v>
      </c>
      <c r="B12">
        <f>Correlação!C12</f>
        <v>7.5141071035999998E-2</v>
      </c>
      <c r="C12">
        <f>Correlação!D12</f>
        <v>-5.3501093432000001E-3</v>
      </c>
      <c r="D12">
        <f>Correlação!E12</f>
        <v>5.6631130809999999E-2</v>
      </c>
      <c r="E12">
        <f>Correlação!F12</f>
        <v>3.8473755792999997E-2</v>
      </c>
      <c r="F12">
        <f>Correlação!G12</f>
        <v>4.1976161752000002E-2</v>
      </c>
      <c r="G12">
        <f>Correlação!H12</f>
        <v>0.10417812479000001</v>
      </c>
      <c r="H12">
        <f>Correlação!I12</f>
        <v>0.17465303608999999</v>
      </c>
      <c r="I12">
        <f>Correlação!J12</f>
        <v>9.0689795633000003E-2</v>
      </c>
      <c r="J12">
        <f>Correlação!K12</f>
        <v>9.1189788366999994E-2</v>
      </c>
      <c r="K12">
        <f>Correlação!L12</f>
        <v>0.12918220403</v>
      </c>
      <c r="L12">
        <f>Correlação!M12</f>
        <v>1</v>
      </c>
      <c r="M12">
        <f>Correlação!N12</f>
        <v>0.92255090804999995</v>
      </c>
      <c r="N12">
        <f>Correlação!O12</f>
        <v>6.6690866852E-2</v>
      </c>
      <c r="O12">
        <f>Correlação!P12</f>
        <v>0.27219033789000002</v>
      </c>
      <c r="P12">
        <f>Correlação!Q12</f>
        <v>0.23894355371000001</v>
      </c>
      <c r="Q12">
        <f>Correlação!R12</f>
        <v>0.12529228596</v>
      </c>
      <c r="R12">
        <f>Correlação!S12</f>
        <v>5.9903748626000002E-2</v>
      </c>
      <c r="S12">
        <f>Correlação!T12</f>
        <v>3.8011828578999998E-2</v>
      </c>
      <c r="T12">
        <f>Correlação!U12</f>
        <v>0.13015922178</v>
      </c>
      <c r="U12">
        <f>Correlação!V12</f>
        <v>6.6638732835000006E-2</v>
      </c>
      <c r="V12">
        <f>Correlação!W12</f>
        <v>0.11281390292</v>
      </c>
      <c r="W12">
        <f>Correlação!X12</f>
        <v>9.0664246786999997E-2</v>
      </c>
      <c r="X12">
        <f>Correlação!Y12</f>
        <v>3.6571077458999998E-2</v>
      </c>
      <c r="Y12">
        <f>Correlação!Z12</f>
        <v>0.11008855443</v>
      </c>
      <c r="Z12">
        <f>Correlação!AA12</f>
        <v>0.14561893542000001</v>
      </c>
      <c r="AA12">
        <f>Correlação!AB12</f>
        <v>0.17452377839</v>
      </c>
    </row>
    <row r="13" spans="1:27" x14ac:dyDescent="0.25">
      <c r="A13" t="s">
        <v>94</v>
      </c>
      <c r="B13">
        <f>Correlação!C13</f>
        <v>2.264202354E-2</v>
      </c>
      <c r="C13">
        <f>Correlação!D13</f>
        <v>-3.4782461982000003E-2</v>
      </c>
      <c r="D13">
        <f>Correlação!E13</f>
        <v>1.3461238318E-2</v>
      </c>
      <c r="E13">
        <f>Correlação!F13</f>
        <v>6.5765606690000006E-2</v>
      </c>
      <c r="F13">
        <f>Correlação!G13</f>
        <v>1.5833453623999998E-2</v>
      </c>
      <c r="G13">
        <f>Correlação!H13</f>
        <v>5.3055291471E-2</v>
      </c>
      <c r="H13">
        <f>Correlação!I13</f>
        <v>0.1223990693</v>
      </c>
      <c r="I13">
        <f>Correlação!J13</f>
        <v>7.1674814138999995E-2</v>
      </c>
      <c r="J13">
        <f>Correlação!K13</f>
        <v>6.8676438573000001E-2</v>
      </c>
      <c r="K13">
        <f>Correlação!L13</f>
        <v>9.3933599441000007E-2</v>
      </c>
      <c r="L13">
        <f>Correlação!M13</f>
        <v>0.92255090804999995</v>
      </c>
      <c r="M13">
        <f>Correlação!N13</f>
        <v>1</v>
      </c>
      <c r="N13">
        <f>Correlação!O13</f>
        <v>-2.3151257016000001E-2</v>
      </c>
      <c r="O13">
        <f>Correlação!P13</f>
        <v>0.21772654009</v>
      </c>
      <c r="P13">
        <f>Correlação!Q13</f>
        <v>0.14851732561</v>
      </c>
      <c r="Q13">
        <f>Correlação!R13</f>
        <v>7.5447370412000003E-2</v>
      </c>
      <c r="R13">
        <f>Correlação!S13</f>
        <v>2.6872265297999999E-2</v>
      </c>
      <c r="S13">
        <f>Correlação!T13</f>
        <v>8.3195727420000004E-3</v>
      </c>
      <c r="T13">
        <f>Correlação!U13</f>
        <v>5.7039198404999998E-2</v>
      </c>
      <c r="U13">
        <f>Correlação!V13</f>
        <v>5.5718199115999997E-2</v>
      </c>
      <c r="V13">
        <f>Correlação!W13</f>
        <v>5.6531409336000003E-2</v>
      </c>
      <c r="W13">
        <f>Correlação!X13</f>
        <v>6.1709623771999997E-2</v>
      </c>
      <c r="X13">
        <f>Correlação!Y13</f>
        <v>1.3282562428E-2</v>
      </c>
      <c r="Y13">
        <f>Correlação!Z13</f>
        <v>9.4375039376000003E-2</v>
      </c>
      <c r="Z13">
        <f>Correlação!AA13</f>
        <v>0.10306146768</v>
      </c>
      <c r="AA13">
        <f>Correlação!AB13</f>
        <v>0.11686733684</v>
      </c>
    </row>
    <row r="14" spans="1:27" x14ac:dyDescent="0.25">
      <c r="A14" t="s">
        <v>82</v>
      </c>
      <c r="B14">
        <f>Correlação!C14</f>
        <v>0.32688933648000001</v>
      </c>
      <c r="C14">
        <f>Correlação!D14</f>
        <v>0.17140829120000001</v>
      </c>
      <c r="D14">
        <f>Correlação!E14</f>
        <v>0.25749886231000002</v>
      </c>
      <c r="E14">
        <f>Correlação!F14</f>
        <v>7.3117674817999995E-2</v>
      </c>
      <c r="F14">
        <f>Correlação!G14</f>
        <v>0.17882173543999999</v>
      </c>
      <c r="G14">
        <f>Correlação!H14</f>
        <v>0.22242580778000001</v>
      </c>
      <c r="H14">
        <f>Correlação!I14</f>
        <v>0.27183203626000002</v>
      </c>
      <c r="I14">
        <f>Correlação!J14</f>
        <v>0.12259399409000001</v>
      </c>
      <c r="J14">
        <f>Correlação!K14</f>
        <v>0.18845282866999999</v>
      </c>
      <c r="K14">
        <f>Correlação!L14</f>
        <v>0.19655993992000001</v>
      </c>
      <c r="L14">
        <f>Correlação!M14</f>
        <v>6.6690866852E-2</v>
      </c>
      <c r="M14">
        <f>Correlação!N14</f>
        <v>-2.3151257016000001E-2</v>
      </c>
      <c r="N14">
        <f>Correlação!O14</f>
        <v>1</v>
      </c>
      <c r="O14">
        <f>Correlação!P14</f>
        <v>0.21771923005999999</v>
      </c>
      <c r="P14">
        <f>Correlação!Q14</f>
        <v>0.32648597924</v>
      </c>
      <c r="Q14">
        <f>Correlação!R14</f>
        <v>0.20862095169</v>
      </c>
      <c r="R14">
        <f>Correlação!S14</f>
        <v>0.18858001721000001</v>
      </c>
      <c r="S14">
        <f>Correlação!T14</f>
        <v>0.15269322469999999</v>
      </c>
      <c r="T14">
        <f>Correlação!U14</f>
        <v>0.17398033396000001</v>
      </c>
      <c r="U14">
        <f>Correlação!V14</f>
        <v>0.10941666260000001</v>
      </c>
      <c r="V14">
        <f>Correlação!W14</f>
        <v>0.23402241692</v>
      </c>
      <c r="W14">
        <f>Correlação!X14</f>
        <v>5.0694986299000003E-2</v>
      </c>
      <c r="X14">
        <f>Correlação!Y14</f>
        <v>0.17126149649</v>
      </c>
      <c r="Y14">
        <f>Correlação!Z14</f>
        <v>0.31175297439999999</v>
      </c>
      <c r="Z14">
        <f>Correlação!AA14</f>
        <v>0.1108632204</v>
      </c>
      <c r="AA14">
        <f>Correlação!AB14</f>
        <v>0.13540432459000001</v>
      </c>
    </row>
    <row r="15" spans="1:27" x14ac:dyDescent="0.25">
      <c r="A15" t="s">
        <v>92</v>
      </c>
      <c r="B15">
        <f>Correlação!C15</f>
        <v>8.8196584371999995E-2</v>
      </c>
      <c r="C15">
        <f>Correlação!D15</f>
        <v>-5.3974840679E-3</v>
      </c>
      <c r="D15">
        <f>Correlação!E15</f>
        <v>8.8512401912999999E-2</v>
      </c>
      <c r="E15">
        <f>Correlação!F15</f>
        <v>-5.1218920288E-2</v>
      </c>
      <c r="F15">
        <f>Correlação!G15</f>
        <v>0.19937567808000001</v>
      </c>
      <c r="G15">
        <f>Correlação!H15</f>
        <v>0.25964193586000001</v>
      </c>
      <c r="H15">
        <f>Correlação!I15</f>
        <v>0.17326414395</v>
      </c>
      <c r="I15">
        <f>Correlação!J15</f>
        <v>0.16671512041</v>
      </c>
      <c r="J15">
        <f>Correlação!K15</f>
        <v>6.9357864428999993E-2</v>
      </c>
      <c r="K15">
        <f>Correlação!L15</f>
        <v>0.11817354053</v>
      </c>
      <c r="L15">
        <f>Correlação!M15</f>
        <v>0.27219033789000002</v>
      </c>
      <c r="M15">
        <f>Correlação!N15</f>
        <v>0.21772654009</v>
      </c>
      <c r="N15">
        <f>Correlação!O15</f>
        <v>0.21771923005999999</v>
      </c>
      <c r="O15">
        <f>Correlação!P15</f>
        <v>1</v>
      </c>
      <c r="P15">
        <f>Correlação!Q15</f>
        <v>0.57770413314000002</v>
      </c>
      <c r="Q15">
        <f>Correlação!R15</f>
        <v>5.5444993682000003E-2</v>
      </c>
      <c r="R15">
        <f>Correlação!S15</f>
        <v>3.4915611462999999E-2</v>
      </c>
      <c r="S15">
        <f>Correlação!T15</f>
        <v>6.1033182787999997E-2</v>
      </c>
      <c r="T15">
        <f>Correlação!U15</f>
        <v>0.13993668503000001</v>
      </c>
      <c r="U15">
        <f>Correlação!V15</f>
        <v>0.30023784911000001</v>
      </c>
      <c r="V15">
        <f>Correlação!W15</f>
        <v>0.29512624143999999</v>
      </c>
      <c r="W15">
        <f>Correlação!X15</f>
        <v>0.17453736731</v>
      </c>
      <c r="X15">
        <f>Correlação!Y15</f>
        <v>0.30439566634999998</v>
      </c>
      <c r="Y15">
        <f>Correlação!Z15</f>
        <v>0.34179403666000002</v>
      </c>
      <c r="Z15">
        <f>Correlação!AA15</f>
        <v>0.21161487144999999</v>
      </c>
      <c r="AA15">
        <f>Correlação!AB15</f>
        <v>0.24537239679</v>
      </c>
    </row>
    <row r="16" spans="1:27" x14ac:dyDescent="0.25">
      <c r="A16" t="s">
        <v>83</v>
      </c>
      <c r="B16">
        <f>Correlação!C16</f>
        <v>0.23920471147</v>
      </c>
      <c r="C16">
        <f>Correlação!D16</f>
        <v>7.7612613706999997E-2</v>
      </c>
      <c r="D16">
        <f>Correlação!E16</f>
        <v>0.20887011412000001</v>
      </c>
      <c r="E16">
        <f>Correlação!F16</f>
        <v>-5.5498657520000001E-2</v>
      </c>
      <c r="F16">
        <f>Correlação!G16</f>
        <v>0.27767777662999998</v>
      </c>
      <c r="G16">
        <f>Correlação!H16</f>
        <v>0.39680986586</v>
      </c>
      <c r="H16">
        <f>Correlação!I16</f>
        <v>0.34859837506000002</v>
      </c>
      <c r="I16">
        <f>Correlação!J16</f>
        <v>0.16738040010999999</v>
      </c>
      <c r="J16">
        <f>Correlação!K16</f>
        <v>0.10381082505</v>
      </c>
      <c r="K16">
        <f>Correlação!L16</f>
        <v>0.13882349466999999</v>
      </c>
      <c r="L16">
        <f>Correlação!M16</f>
        <v>0.23894355371000001</v>
      </c>
      <c r="M16">
        <f>Correlação!N16</f>
        <v>0.14851732561</v>
      </c>
      <c r="N16">
        <f>Correlação!O16</f>
        <v>0.32648597924</v>
      </c>
      <c r="O16">
        <f>Correlação!P16</f>
        <v>0.57770413314000002</v>
      </c>
      <c r="P16">
        <f>Correlação!Q16</f>
        <v>1</v>
      </c>
      <c r="Q16">
        <f>Correlação!R16</f>
        <v>0.18857735344000001</v>
      </c>
      <c r="R16">
        <f>Correlação!S16</f>
        <v>0.10229957832</v>
      </c>
      <c r="S16">
        <f>Correlação!T16</f>
        <v>8.4679409876999998E-2</v>
      </c>
      <c r="T16">
        <f>Correlação!U16</f>
        <v>0.22305723129999999</v>
      </c>
      <c r="U16">
        <f>Correlação!V16</f>
        <v>0.22679491359000001</v>
      </c>
      <c r="V16">
        <f>Correlação!W16</f>
        <v>0.69061978930000001</v>
      </c>
      <c r="W16">
        <f>Correlação!X16</f>
        <v>0.31809788896000002</v>
      </c>
      <c r="X16">
        <f>Correlação!Y16</f>
        <v>0.15207405901000001</v>
      </c>
      <c r="Y16">
        <f>Correlação!Z16</f>
        <v>0.47555634863000001</v>
      </c>
      <c r="Z16">
        <f>Correlação!AA16</f>
        <v>0.18482394998000001</v>
      </c>
      <c r="AA16">
        <f>Correlação!AB16</f>
        <v>0.24409376187000001</v>
      </c>
    </row>
    <row r="17" spans="1:27" x14ac:dyDescent="0.25">
      <c r="A17" t="s">
        <v>87</v>
      </c>
      <c r="B17">
        <f>Correlação!C17</f>
        <v>0.50019883604000004</v>
      </c>
      <c r="C17">
        <f>Correlação!D17</f>
        <v>0.47335686417</v>
      </c>
      <c r="D17">
        <f>Correlação!E17</f>
        <v>0.56056085320000004</v>
      </c>
      <c r="E17">
        <f>Correlação!F17</f>
        <v>0.27937983246999998</v>
      </c>
      <c r="F17">
        <f>Correlação!G17</f>
        <v>2.8529201938000001E-2</v>
      </c>
      <c r="G17">
        <f>Correlação!H17</f>
        <v>7.6313203630999998E-2</v>
      </c>
      <c r="H17">
        <f>Correlação!I17</f>
        <v>1.4365082743E-2</v>
      </c>
      <c r="I17">
        <f>Correlação!J17</f>
        <v>4.9055472635999998E-2</v>
      </c>
      <c r="J17">
        <f>Correlação!K17</f>
        <v>8.3848517617000004E-2</v>
      </c>
      <c r="K17">
        <f>Correlação!L17</f>
        <v>9.8933464624000003E-2</v>
      </c>
      <c r="L17">
        <f>Correlação!M17</f>
        <v>0.12529228596</v>
      </c>
      <c r="M17">
        <f>Correlação!N17</f>
        <v>7.5447370412000003E-2</v>
      </c>
      <c r="N17">
        <f>Correlação!O17</f>
        <v>0.20862095169</v>
      </c>
      <c r="O17">
        <f>Correlação!P17</f>
        <v>5.5444993682000003E-2</v>
      </c>
      <c r="P17">
        <f>Correlação!Q17</f>
        <v>0.18857735344000001</v>
      </c>
      <c r="Q17">
        <f>Correlação!R17</f>
        <v>1</v>
      </c>
      <c r="R17">
        <f>Correlação!S17</f>
        <v>0.73818647363000001</v>
      </c>
      <c r="S17">
        <f>Correlação!T17</f>
        <v>0.53546003852000001</v>
      </c>
      <c r="T17">
        <f>Correlação!U17</f>
        <v>8.0151759579000004E-2</v>
      </c>
      <c r="U17">
        <f>Correlação!V17</f>
        <v>-1.20084122E-3</v>
      </c>
      <c r="V17">
        <f>Correlação!W17</f>
        <v>0.42394211456999997</v>
      </c>
      <c r="W17">
        <f>Correlação!X17</f>
        <v>0.24325859803</v>
      </c>
      <c r="X17">
        <f>Correlação!Y17</f>
        <v>0.18556996335000001</v>
      </c>
      <c r="Y17">
        <f>Correlação!Z17</f>
        <v>0.21101144185000001</v>
      </c>
      <c r="Z17">
        <f>Correlação!AA17</f>
        <v>0.10278196829</v>
      </c>
      <c r="AA17">
        <f>Correlação!AB17</f>
        <v>0.11267343448</v>
      </c>
    </row>
    <row r="18" spans="1:27" x14ac:dyDescent="0.25">
      <c r="A18" t="s">
        <v>84</v>
      </c>
      <c r="B18">
        <f>Correlação!C18</f>
        <v>0.51505891968999995</v>
      </c>
      <c r="C18">
        <f>Correlação!D18</f>
        <v>0.50058456366000004</v>
      </c>
      <c r="D18">
        <f>Correlação!E18</f>
        <v>0.59265757333000002</v>
      </c>
      <c r="E18">
        <f>Correlação!F18</f>
        <v>0.34516234154999997</v>
      </c>
      <c r="F18">
        <f>Correlação!G18</f>
        <v>-1.0509668186E-2</v>
      </c>
      <c r="G18">
        <f>Correlação!H18</f>
        <v>6.5975506130000004E-3</v>
      </c>
      <c r="H18">
        <f>Correlação!I18</f>
        <v>-1.1091878305E-2</v>
      </c>
      <c r="I18">
        <f>Correlação!J18</f>
        <v>0.20334097227</v>
      </c>
      <c r="J18">
        <f>Correlação!K18</f>
        <v>0.18097875016000001</v>
      </c>
      <c r="K18">
        <f>Correlação!L18</f>
        <v>0.24069293639</v>
      </c>
      <c r="L18">
        <f>Correlação!M18</f>
        <v>5.9903748626000002E-2</v>
      </c>
      <c r="M18">
        <f>Correlação!N18</f>
        <v>2.6872265297999999E-2</v>
      </c>
      <c r="N18">
        <f>Correlação!O18</f>
        <v>0.18858001721000001</v>
      </c>
      <c r="O18">
        <f>Correlação!P18</f>
        <v>3.4915611462999999E-2</v>
      </c>
      <c r="P18">
        <f>Correlação!Q18</f>
        <v>0.10229957832</v>
      </c>
      <c r="Q18">
        <f>Correlação!R18</f>
        <v>0.73818647363000001</v>
      </c>
      <c r="R18">
        <f>Correlação!S18</f>
        <v>1</v>
      </c>
      <c r="S18">
        <f>Correlação!T18</f>
        <v>0.82618791286000004</v>
      </c>
      <c r="T18">
        <f>Correlação!U18</f>
        <v>0.14455718380999999</v>
      </c>
      <c r="U18">
        <f>Correlação!V18</f>
        <v>-2.7492845403E-2</v>
      </c>
      <c r="V18">
        <f>Correlação!W18</f>
        <v>0.33619877473999998</v>
      </c>
      <c r="W18">
        <f>Correlação!X18</f>
        <v>0.19014879886</v>
      </c>
      <c r="X18">
        <f>Correlação!Y18</f>
        <v>7.6093120596E-2</v>
      </c>
      <c r="Y18">
        <f>Correlação!Z18</f>
        <v>0.13603934711999999</v>
      </c>
      <c r="Z18">
        <f>Correlação!AA18</f>
        <v>6.4128014100999997E-2</v>
      </c>
      <c r="AA18">
        <f>Correlação!AB18</f>
        <v>5.9355987691999998E-2</v>
      </c>
    </row>
    <row r="19" spans="1:27" x14ac:dyDescent="0.25">
      <c r="A19" t="s">
        <v>102</v>
      </c>
      <c r="B19">
        <f>Correlação!C19</f>
        <v>0.43014030044000001</v>
      </c>
      <c r="C19">
        <f>Correlação!D19</f>
        <v>0.40873459272000001</v>
      </c>
      <c r="D19">
        <f>Correlação!E19</f>
        <v>0.45771662210000003</v>
      </c>
      <c r="E19">
        <f>Correlação!F19</f>
        <v>0.25347102748</v>
      </c>
      <c r="F19">
        <f>Correlação!G19</f>
        <v>3.7812621646999998E-3</v>
      </c>
      <c r="G19">
        <f>Correlação!H19</f>
        <v>1.2833405682999999E-2</v>
      </c>
      <c r="H19">
        <f>Correlação!I19</f>
        <v>-3.5955122213999998E-3</v>
      </c>
      <c r="I19">
        <f>Correlação!J19</f>
        <v>0.23302661190999999</v>
      </c>
      <c r="J19">
        <f>Correlação!K19</f>
        <v>0.24790338570000001</v>
      </c>
      <c r="K19">
        <f>Correlação!L19</f>
        <v>0.28042962400999999</v>
      </c>
      <c r="L19">
        <f>Correlação!M19</f>
        <v>3.8011828578999998E-2</v>
      </c>
      <c r="M19">
        <f>Correlação!N19</f>
        <v>8.3195727420000004E-3</v>
      </c>
      <c r="N19">
        <f>Correlação!O19</f>
        <v>0.15269322469999999</v>
      </c>
      <c r="O19">
        <f>Correlação!P19</f>
        <v>6.1033182787999997E-2</v>
      </c>
      <c r="P19">
        <f>Correlação!Q19</f>
        <v>8.4679409876999998E-2</v>
      </c>
      <c r="Q19">
        <f>Correlação!R19</f>
        <v>0.53546003852000001</v>
      </c>
      <c r="R19">
        <f>Correlação!S19</f>
        <v>0.82618791286000004</v>
      </c>
      <c r="S19">
        <f>Correlação!T19</f>
        <v>1</v>
      </c>
      <c r="T19">
        <f>Correlação!U19</f>
        <v>0.13971061134000001</v>
      </c>
      <c r="U19">
        <f>Correlação!V19</f>
        <v>-2.5544478911999999E-2</v>
      </c>
      <c r="V19">
        <f>Correlação!W19</f>
        <v>0.24584999236999999</v>
      </c>
      <c r="W19">
        <f>Correlação!X19</f>
        <v>0.15526866148999999</v>
      </c>
      <c r="X19">
        <f>Correlação!Y19</f>
        <v>0.11014130472</v>
      </c>
      <c r="Y19">
        <f>Correlação!Z19</f>
        <v>0.14365246393</v>
      </c>
      <c r="Z19">
        <f>Correlação!AA19</f>
        <v>6.0966610613000002E-2</v>
      </c>
      <c r="AA19">
        <f>Correlação!AB19</f>
        <v>6.0457224827999999E-2</v>
      </c>
    </row>
    <row r="20" spans="1:27" x14ac:dyDescent="0.25">
      <c r="A20" t="s">
        <v>112</v>
      </c>
      <c r="B20">
        <f>Correlação!C20</f>
        <v>0.17575852086999999</v>
      </c>
      <c r="C20">
        <f>Correlação!D20</f>
        <v>0.16978913937000001</v>
      </c>
      <c r="D20">
        <f>Correlação!E20</f>
        <v>0.21653841381</v>
      </c>
      <c r="E20">
        <f>Correlação!F20</f>
        <v>5.3381603202999998E-2</v>
      </c>
      <c r="F20">
        <f>Correlação!G20</f>
        <v>2.9056014989000001E-2</v>
      </c>
      <c r="G20">
        <f>Correlação!H20</f>
        <v>8.0108526045000003E-2</v>
      </c>
      <c r="H20">
        <f>Correlação!I20</f>
        <v>0.15009888985</v>
      </c>
      <c r="I20">
        <f>Correlação!J20</f>
        <v>0.18786724515</v>
      </c>
      <c r="J20">
        <f>Correlação!K20</f>
        <v>0.26250908882000001</v>
      </c>
      <c r="K20">
        <f>Correlação!L20</f>
        <v>0.23842802042</v>
      </c>
      <c r="L20">
        <f>Correlação!M20</f>
        <v>0.13015922178</v>
      </c>
      <c r="M20">
        <f>Correlação!N20</f>
        <v>5.7039198404999998E-2</v>
      </c>
      <c r="N20">
        <f>Correlação!O20</f>
        <v>0.17398033396000001</v>
      </c>
      <c r="O20">
        <f>Correlação!P20</f>
        <v>0.13993668503000001</v>
      </c>
      <c r="P20">
        <f>Correlação!Q20</f>
        <v>0.22305723129999999</v>
      </c>
      <c r="Q20">
        <f>Correlação!R20</f>
        <v>8.0151759579000004E-2</v>
      </c>
      <c r="R20">
        <f>Correlação!S20</f>
        <v>0.14455718380999999</v>
      </c>
      <c r="S20">
        <f>Correlação!T20</f>
        <v>0.13971061134000001</v>
      </c>
      <c r="T20">
        <f>Correlação!U20</f>
        <v>1</v>
      </c>
      <c r="U20">
        <f>Correlação!V20</f>
        <v>8.9212711850000001E-2</v>
      </c>
      <c r="V20">
        <f>Correlação!W20</f>
        <v>0.12924911316000001</v>
      </c>
      <c r="W20">
        <f>Correlação!X20</f>
        <v>6.1747489264999997E-2</v>
      </c>
      <c r="X20">
        <f>Correlação!Y20</f>
        <v>0.11853585375</v>
      </c>
      <c r="Y20">
        <f>Correlação!Z20</f>
        <v>0.17597961888999999</v>
      </c>
      <c r="Z20">
        <f>Correlação!AA20</f>
        <v>0.50741510465999995</v>
      </c>
      <c r="AA20">
        <f>Correlação!AB20</f>
        <v>0.62146800900999999</v>
      </c>
    </row>
    <row r="21" spans="1:27" x14ac:dyDescent="0.25">
      <c r="A21" t="s">
        <v>86</v>
      </c>
      <c r="B21">
        <f>Correlação!C21</f>
        <v>7.2928152602999997E-3</v>
      </c>
      <c r="C21">
        <f>Correlação!D21</f>
        <v>1.1630725283E-2</v>
      </c>
      <c r="D21">
        <f>Correlação!E21</f>
        <v>2.3705387620999999E-2</v>
      </c>
      <c r="E21">
        <f>Correlação!F21</f>
        <v>-9.9549415262999999E-2</v>
      </c>
      <c r="F21">
        <f>Correlação!G21</f>
        <v>1.6275949341999999E-2</v>
      </c>
      <c r="G21">
        <f>Correlação!H21</f>
        <v>4.8368530053E-2</v>
      </c>
      <c r="H21">
        <f>Correlação!I21</f>
        <v>-1.2036189992E-2</v>
      </c>
      <c r="I21">
        <f>Correlação!J21</f>
        <v>5.2228881956999998E-2</v>
      </c>
      <c r="J21">
        <f>Correlação!K21</f>
        <v>5.8602526681000001E-2</v>
      </c>
      <c r="K21">
        <f>Correlação!L21</f>
        <v>6.5510280022000003E-2</v>
      </c>
      <c r="L21">
        <f>Correlação!M21</f>
        <v>6.6638732835000006E-2</v>
      </c>
      <c r="M21">
        <f>Correlação!N21</f>
        <v>5.5718199115999997E-2</v>
      </c>
      <c r="N21">
        <f>Correlação!O21</f>
        <v>0.10941666260000001</v>
      </c>
      <c r="O21">
        <f>Correlação!P21</f>
        <v>0.30023784911000001</v>
      </c>
      <c r="P21">
        <f>Correlação!Q21</f>
        <v>0.22679491359000001</v>
      </c>
      <c r="Q21">
        <f>Correlação!R21</f>
        <v>-1.20084122E-3</v>
      </c>
      <c r="R21">
        <f>Correlação!S21</f>
        <v>-2.7492845403E-2</v>
      </c>
      <c r="S21">
        <f>Correlação!T21</f>
        <v>-2.5544478911999999E-2</v>
      </c>
      <c r="T21">
        <f>Correlação!U21</f>
        <v>8.9212711850000001E-2</v>
      </c>
      <c r="U21">
        <f>Correlação!V21</f>
        <v>1</v>
      </c>
      <c r="V21">
        <f>Correlação!W21</f>
        <v>5.7628710925E-2</v>
      </c>
      <c r="W21">
        <f>Correlação!X21</f>
        <v>-0.13939684131999999</v>
      </c>
      <c r="X21">
        <f>Correlação!Y21</f>
        <v>0.33034884524000002</v>
      </c>
      <c r="Y21">
        <f>Correlação!Z21</f>
        <v>0.16020846298999999</v>
      </c>
      <c r="Z21">
        <f>Correlação!AA21</f>
        <v>9.6012685666000006E-2</v>
      </c>
      <c r="AA21">
        <f>Correlação!AB21</f>
        <v>0.16580145453</v>
      </c>
    </row>
    <row r="22" spans="1:27" x14ac:dyDescent="0.25">
      <c r="A22" t="s">
        <v>100</v>
      </c>
      <c r="B22">
        <f>Correlação!C22</f>
        <v>0.39378253698999999</v>
      </c>
      <c r="C22">
        <f>Correlação!D22</f>
        <v>0.27210003518999998</v>
      </c>
      <c r="D22">
        <f>Correlação!E22</f>
        <v>0.39081080220999997</v>
      </c>
      <c r="E22">
        <f>Correlação!F22</f>
        <v>0.12530840889</v>
      </c>
      <c r="F22">
        <f>Correlação!G22</f>
        <v>0.24212751163999999</v>
      </c>
      <c r="G22">
        <f>Correlação!H22</f>
        <v>0.33680342658000001</v>
      </c>
      <c r="H22">
        <f>Correlação!I22</f>
        <v>0.26398323356999998</v>
      </c>
      <c r="I22">
        <f>Correlação!J22</f>
        <v>0.17152562716</v>
      </c>
      <c r="J22">
        <f>Correlação!K22</f>
        <v>0.15218253991</v>
      </c>
      <c r="K22">
        <f>Correlação!L22</f>
        <v>0.15309493308</v>
      </c>
      <c r="L22">
        <f>Correlação!M22</f>
        <v>0.11281390292</v>
      </c>
      <c r="M22">
        <f>Correlação!N22</f>
        <v>5.6531409336000003E-2</v>
      </c>
      <c r="N22">
        <f>Correlação!O22</f>
        <v>0.23402241692</v>
      </c>
      <c r="O22">
        <f>Correlação!P22</f>
        <v>0.29512624143999999</v>
      </c>
      <c r="P22">
        <f>Correlação!Q22</f>
        <v>0.69061978930000001</v>
      </c>
      <c r="Q22">
        <f>Correlação!R22</f>
        <v>0.42394211456999997</v>
      </c>
      <c r="R22">
        <f>Correlação!S22</f>
        <v>0.33619877473999998</v>
      </c>
      <c r="S22">
        <f>Correlação!T22</f>
        <v>0.24584999236999999</v>
      </c>
      <c r="T22">
        <f>Correlação!U22</f>
        <v>0.12924911316000001</v>
      </c>
      <c r="U22">
        <f>Correlação!V22</f>
        <v>5.7628710925E-2</v>
      </c>
      <c r="V22">
        <f>Correlação!W22</f>
        <v>1</v>
      </c>
      <c r="W22">
        <f>Correlação!X22</f>
        <v>0.53361695049000002</v>
      </c>
      <c r="X22">
        <f>Correlação!Y22</f>
        <v>2.4028424417E-2</v>
      </c>
      <c r="Y22">
        <f>Correlação!Z22</f>
        <v>0.4464257318</v>
      </c>
      <c r="Z22">
        <f>Correlação!AA22</f>
        <v>0.17635569342999999</v>
      </c>
      <c r="AA22">
        <f>Correlação!AB22</f>
        <v>0.21658370567999999</v>
      </c>
    </row>
    <row r="23" spans="1:27" x14ac:dyDescent="0.25">
      <c r="A23" t="s">
        <v>116</v>
      </c>
      <c r="B23">
        <f>Correlação!C23</f>
        <v>0.11839404556999999</v>
      </c>
      <c r="C23">
        <f>Correlação!D23</f>
        <v>7.5436954072999995E-2</v>
      </c>
      <c r="D23">
        <f>Correlação!E23</f>
        <v>0.12331970725999999</v>
      </c>
      <c r="E23">
        <f>Correlação!F23</f>
        <v>0.16967605368999999</v>
      </c>
      <c r="F23">
        <f>Correlação!G23</f>
        <v>0.14333458918</v>
      </c>
      <c r="G23">
        <f>Correlação!H23</f>
        <v>0.14660268335000001</v>
      </c>
      <c r="H23">
        <f>Correlação!I23</f>
        <v>0.19281637959</v>
      </c>
      <c r="I23">
        <f>Correlação!J23</f>
        <v>0.11871625806</v>
      </c>
      <c r="J23">
        <f>Correlação!K23</f>
        <v>0.14895775791999999</v>
      </c>
      <c r="K23">
        <f>Correlação!L23</f>
        <v>0.18033062195999999</v>
      </c>
      <c r="L23">
        <f>Correlação!M23</f>
        <v>9.0664246786999997E-2</v>
      </c>
      <c r="M23">
        <f>Correlação!N23</f>
        <v>6.1709623771999997E-2</v>
      </c>
      <c r="N23">
        <f>Correlação!O23</f>
        <v>5.0694986299000003E-2</v>
      </c>
      <c r="O23">
        <f>Correlação!P23</f>
        <v>0.17453736731</v>
      </c>
      <c r="P23">
        <f>Correlação!Q23</f>
        <v>0.31809788896000002</v>
      </c>
      <c r="Q23">
        <f>Correlação!R23</f>
        <v>0.24325859803</v>
      </c>
      <c r="R23">
        <f>Correlação!S23</f>
        <v>0.19014879886</v>
      </c>
      <c r="S23">
        <f>Correlação!T23</f>
        <v>0.15526866148999999</v>
      </c>
      <c r="T23">
        <f>Correlação!U23</f>
        <v>6.1747489264999997E-2</v>
      </c>
      <c r="U23">
        <f>Correlação!V23</f>
        <v>-0.13939684131999999</v>
      </c>
      <c r="V23">
        <f>Correlação!W23</f>
        <v>0.53361695049000002</v>
      </c>
      <c r="W23">
        <f>Correlação!X23</f>
        <v>1</v>
      </c>
      <c r="X23">
        <f>Correlação!Y23</f>
        <v>-7.4454550637999994E-2</v>
      </c>
      <c r="Y23">
        <f>Correlação!Z23</f>
        <v>0.11229687709</v>
      </c>
      <c r="Z23">
        <f>Correlação!AA23</f>
        <v>8.6962335471999996E-2</v>
      </c>
      <c r="AA23">
        <f>Correlação!AB23</f>
        <v>0.12568006656</v>
      </c>
    </row>
    <row r="24" spans="1:27" x14ac:dyDescent="0.25">
      <c r="A24" t="s">
        <v>85</v>
      </c>
      <c r="B24">
        <f>Correlação!C24</f>
        <v>0.20445601596999999</v>
      </c>
      <c r="C24">
        <f>Correlação!D24</f>
        <v>8.6732904511999998E-2</v>
      </c>
      <c r="D24">
        <f>Correlação!E24</f>
        <v>0.15865222897</v>
      </c>
      <c r="E24">
        <f>Correlação!F24</f>
        <v>-1.0955785762E-2</v>
      </c>
      <c r="F24">
        <f>Correlação!G24</f>
        <v>9.5733954750999994E-2</v>
      </c>
      <c r="G24">
        <f>Correlação!H24</f>
        <v>0.15074793447000001</v>
      </c>
      <c r="H24">
        <f>Correlação!I24</f>
        <v>5.8234003463999998E-2</v>
      </c>
      <c r="I24">
        <f>Correlação!J24</f>
        <v>9.8063344986000001E-2</v>
      </c>
      <c r="J24">
        <f>Correlação!K24</f>
        <v>-8.4262846877000003E-3</v>
      </c>
      <c r="K24">
        <f>Correlação!L24</f>
        <v>1.0084241084E-2</v>
      </c>
      <c r="L24">
        <f>Correlação!M24</f>
        <v>3.6571077458999998E-2</v>
      </c>
      <c r="M24">
        <f>Correlação!N24</f>
        <v>1.3282562428E-2</v>
      </c>
      <c r="N24">
        <f>Correlação!O24</f>
        <v>0.17126149649</v>
      </c>
      <c r="O24">
        <f>Correlação!P24</f>
        <v>0.30439566634999998</v>
      </c>
      <c r="P24">
        <f>Correlação!Q24</f>
        <v>0.15207405901000001</v>
      </c>
      <c r="Q24">
        <f>Correlação!R24</f>
        <v>0.18556996335000001</v>
      </c>
      <c r="R24">
        <f>Correlação!S24</f>
        <v>7.6093120596E-2</v>
      </c>
      <c r="S24">
        <f>Correlação!T24</f>
        <v>0.11014130472</v>
      </c>
      <c r="T24">
        <f>Correlação!U24</f>
        <v>0.11853585375</v>
      </c>
      <c r="U24">
        <f>Correlação!V24</f>
        <v>0.33034884524000002</v>
      </c>
      <c r="V24">
        <f>Correlação!W24</f>
        <v>2.4028424417E-2</v>
      </c>
      <c r="W24">
        <f>Correlação!X24</f>
        <v>-7.4454550637999994E-2</v>
      </c>
      <c r="X24">
        <f>Correlação!Y24</f>
        <v>1</v>
      </c>
      <c r="Y24">
        <f>Correlação!Z24</f>
        <v>0.51762636592</v>
      </c>
      <c r="Z24">
        <f>Correlação!AA24</f>
        <v>8.7873401869000001E-2</v>
      </c>
      <c r="AA24">
        <f>Correlação!AB24</f>
        <v>0.13038195052000001</v>
      </c>
    </row>
    <row r="25" spans="1:27" x14ac:dyDescent="0.25">
      <c r="A25" t="s">
        <v>104</v>
      </c>
      <c r="B25">
        <f>Correlação!C25</f>
        <v>0.45339477251999999</v>
      </c>
      <c r="C25">
        <f>Correlação!D25</f>
        <v>0.26450098562000002</v>
      </c>
      <c r="D25">
        <f>Correlação!E25</f>
        <v>0.3789623412</v>
      </c>
      <c r="E25">
        <f>Correlação!F25</f>
        <v>1.405426144E-2</v>
      </c>
      <c r="F25">
        <f>Correlação!G25</f>
        <v>0.2004478535</v>
      </c>
      <c r="G25">
        <f>Correlação!H25</f>
        <v>0.31264151877000002</v>
      </c>
      <c r="H25">
        <f>Correlação!I25</f>
        <v>0.22021472219999999</v>
      </c>
      <c r="I25">
        <f>Correlação!J25</f>
        <v>0.18263271059</v>
      </c>
      <c r="J25">
        <f>Correlação!K25</f>
        <v>6.3675283718999998E-2</v>
      </c>
      <c r="K25">
        <f>Correlação!L25</f>
        <v>8.1270126127000006E-2</v>
      </c>
      <c r="L25">
        <f>Correlação!M25</f>
        <v>0.11008855443</v>
      </c>
      <c r="M25">
        <f>Correlação!N25</f>
        <v>9.4375039376000003E-2</v>
      </c>
      <c r="N25">
        <f>Correlação!O25</f>
        <v>0.31175297439999999</v>
      </c>
      <c r="O25">
        <f>Correlação!P25</f>
        <v>0.34179403666000002</v>
      </c>
      <c r="P25">
        <f>Correlação!Q25</f>
        <v>0.47555634863000001</v>
      </c>
      <c r="Q25">
        <f>Correlação!R25</f>
        <v>0.21101144185000001</v>
      </c>
      <c r="R25">
        <f>Correlação!S25</f>
        <v>0.13603934711999999</v>
      </c>
      <c r="S25">
        <f>Correlação!T25</f>
        <v>0.14365246393</v>
      </c>
      <c r="T25">
        <f>Correlação!U25</f>
        <v>0.17597961888999999</v>
      </c>
      <c r="U25">
        <f>Correlação!V25</f>
        <v>0.16020846298999999</v>
      </c>
      <c r="V25">
        <f>Correlação!W25</f>
        <v>0.4464257318</v>
      </c>
      <c r="W25">
        <f>Correlação!X25</f>
        <v>0.11229687709</v>
      </c>
      <c r="X25">
        <f>Correlação!Y25</f>
        <v>0.51762636592</v>
      </c>
      <c r="Y25">
        <f>Correlação!Z25</f>
        <v>1</v>
      </c>
      <c r="Z25">
        <f>Correlação!AA25</f>
        <v>0.16923293467</v>
      </c>
      <c r="AA25">
        <f>Correlação!AB25</f>
        <v>0.2019914397</v>
      </c>
    </row>
    <row r="26" spans="1:27" x14ac:dyDescent="0.25">
      <c r="A26" t="s">
        <v>98</v>
      </c>
      <c r="B26">
        <f>Correlação!C26</f>
        <v>3.3804047807999997E-2</v>
      </c>
      <c r="C26">
        <f>Correlação!D26</f>
        <v>7.8810478495999994E-2</v>
      </c>
      <c r="D26">
        <f>Correlação!E26</f>
        <v>0.10369879419</v>
      </c>
      <c r="E26">
        <f>Correlação!F26</f>
        <v>6.6692586966E-2</v>
      </c>
      <c r="F26">
        <f>Correlação!G26</f>
        <v>0.14869539212999999</v>
      </c>
      <c r="G26">
        <f>Correlação!H26</f>
        <v>0.17875397023</v>
      </c>
      <c r="H26">
        <f>Correlação!I26</f>
        <v>0.13707993549</v>
      </c>
      <c r="I26">
        <f>Correlação!J26</f>
        <v>0.17371535600999999</v>
      </c>
      <c r="J26">
        <f>Correlação!K26</f>
        <v>0.23359119443000001</v>
      </c>
      <c r="K26">
        <f>Correlação!L26</f>
        <v>0.23218611058999999</v>
      </c>
      <c r="L26">
        <f>Correlação!M26</f>
        <v>0.14561893542000001</v>
      </c>
      <c r="M26">
        <f>Correlação!N26</f>
        <v>0.10306146768</v>
      </c>
      <c r="N26">
        <f>Correlação!O26</f>
        <v>0.1108632204</v>
      </c>
      <c r="O26">
        <f>Correlação!P26</f>
        <v>0.21161487144999999</v>
      </c>
      <c r="P26">
        <f>Correlação!Q26</f>
        <v>0.18482394998000001</v>
      </c>
      <c r="Q26">
        <f>Correlação!R26</f>
        <v>0.10278196829</v>
      </c>
      <c r="R26">
        <f>Correlação!S26</f>
        <v>6.4128014100999997E-2</v>
      </c>
      <c r="S26">
        <f>Correlação!T26</f>
        <v>6.0966610613000002E-2</v>
      </c>
      <c r="T26">
        <f>Correlação!U26</f>
        <v>0.50741510465999995</v>
      </c>
      <c r="U26">
        <f>Correlação!V26</f>
        <v>9.6012685666000006E-2</v>
      </c>
      <c r="V26">
        <f>Correlação!W26</f>
        <v>0.17635569342999999</v>
      </c>
      <c r="W26">
        <f>Correlação!X26</f>
        <v>8.6962335471999996E-2</v>
      </c>
      <c r="X26">
        <f>Correlação!Y26</f>
        <v>8.7873401869000001E-2</v>
      </c>
      <c r="Y26">
        <f>Correlação!Z26</f>
        <v>0.16923293467</v>
      </c>
      <c r="Z26">
        <f>Correlação!AA26</f>
        <v>1</v>
      </c>
      <c r="AA26">
        <f>Correlação!AB26</f>
        <v>0.87887419644999998</v>
      </c>
    </row>
    <row r="27" spans="1:27" x14ac:dyDescent="0.25">
      <c r="A27" t="s">
        <v>106</v>
      </c>
      <c r="B27">
        <f>Correlação!C27</f>
        <v>7.0134818577000005E-2</v>
      </c>
      <c r="C27">
        <f>Correlação!D27</f>
        <v>9.4513810170000004E-2</v>
      </c>
      <c r="D27">
        <f>Correlação!E27</f>
        <v>0.1220309368</v>
      </c>
      <c r="E27">
        <f>Correlação!F27</f>
        <v>4.5666972064E-2</v>
      </c>
      <c r="F27">
        <f>Correlação!G27</f>
        <v>0.16134596302000001</v>
      </c>
      <c r="G27">
        <f>Correlação!H27</f>
        <v>0.20076020657999999</v>
      </c>
      <c r="H27">
        <f>Correlação!I27</f>
        <v>0.15347430389</v>
      </c>
      <c r="I27">
        <f>Correlação!J27</f>
        <v>0.18780982267999999</v>
      </c>
      <c r="J27">
        <f>Correlação!K27</f>
        <v>0.25542949996999997</v>
      </c>
      <c r="K27">
        <f>Correlação!L27</f>
        <v>0.25207874699999999</v>
      </c>
      <c r="L27">
        <f>Correlação!M27</f>
        <v>0.17452377839</v>
      </c>
      <c r="M27">
        <f>Correlação!N27</f>
        <v>0.11686733684</v>
      </c>
      <c r="N27">
        <f>Correlação!O27</f>
        <v>0.13540432459000001</v>
      </c>
      <c r="O27">
        <f>Correlação!P27</f>
        <v>0.24537239679</v>
      </c>
      <c r="P27">
        <f>Correlação!Q27</f>
        <v>0.24409376187000001</v>
      </c>
      <c r="Q27">
        <f>Correlação!R27</f>
        <v>0.11267343448</v>
      </c>
      <c r="R27">
        <f>Correlação!S27</f>
        <v>5.9355987691999998E-2</v>
      </c>
      <c r="S27">
        <f>Correlação!T27</f>
        <v>6.0457224827999999E-2</v>
      </c>
      <c r="T27">
        <f>Correlação!U27</f>
        <v>0.62146800900999999</v>
      </c>
      <c r="U27">
        <f>Correlação!V27</f>
        <v>0.16580145453</v>
      </c>
      <c r="V27">
        <f>Correlação!W27</f>
        <v>0.21658370567999999</v>
      </c>
      <c r="W27">
        <f>Correlação!X27</f>
        <v>0.12568006656</v>
      </c>
      <c r="X27">
        <f>Correlação!Y27</f>
        <v>0.13038195052000001</v>
      </c>
      <c r="Y27">
        <f>Correlação!Z27</f>
        <v>0.2019914397</v>
      </c>
      <c r="Z27">
        <f>Correlação!AA27</f>
        <v>0.87887419644999998</v>
      </c>
      <c r="AA27">
        <f>Correlação!AB27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Cotas</vt:lpstr>
      <vt:lpstr>Planilha2</vt:lpstr>
      <vt:lpstr>Correlação</vt:lpstr>
      <vt:lpstr>Correlação código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 Rodrigues de Castilho Jacob</dc:creator>
  <cp:lastModifiedBy>Lívia Rodrigues de Castilho Jacob</cp:lastModifiedBy>
  <dcterms:created xsi:type="dcterms:W3CDTF">2026-03-02T19:43:28Z</dcterms:created>
  <dcterms:modified xsi:type="dcterms:W3CDTF">2026-05-12T22:53:39Z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1457573033</vt:lpwstr>
  </property>
  <property fmtid="{D5CDD505-2E9C-101B-9397-08002B2CF9AE}" pid="3" name="EcoUpdateMessage">
    <vt:lpwstr>2026/03/10-01:23:53</vt:lpwstr>
  </property>
  <property fmtid="{D5CDD505-2E9C-101B-9397-08002B2CF9AE}" pid="4" name="EcoUpdateStatus">
    <vt:lpwstr>2026-03-09=BRA:St,ME,Fd,TP;USA:St,ME;ARG:St,ME,TP;MEX:St,ME,Fd,TP;CHL:St,ME;PER:St,ME,Fd;SAU:St|2022-10-17=USA:TP|2026-02-26=ARG:Fd|2026-03-06=CHL:Fd;COL:St,ME|2021-11-17=CHL:TP|2014-02-26=VEN:St|2002-11-08=JPN:St|2026-02-18=GBR:St,ME|2016-08-18=NNN:St|2026-03-04=COL:Fd;PER:TP|2007-01-31=ESP:St|2003-01-29=CHN:St|2003-01-28=TWN:St|2003-01-30=HKG:St;KOR:St|2023-01-19=OTH:St|2025-06-24=PAN:St|2024-06-24=SAU:ME</vt:lpwstr>
  </property>
</Properties>
</file>